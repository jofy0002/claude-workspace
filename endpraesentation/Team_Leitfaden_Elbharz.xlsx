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Start" sheetId="1" state="visible" r:id="rId3"/>
    <sheet name="Aufgaben" sheetId="2" state="visible" r:id="rId4"/>
    <sheet name="Rollen &amp; Zeitplan" sheetId="3" state="visible" r:id="rId5"/>
    <sheet name="Sprechtexte" sheetId="4" state="visible" r:id="rId6"/>
    <sheet name="Fragen" sheetId="5" state="visible" r:id="rId7"/>
  </sheets>
  <definedNames>
    <definedName function="false" hidden="false" name="Team" vbProcedure="false">Start!$B$5:$B$8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<sst xmlns="http://schemas.openxmlformats.org/spreadsheetml/2006/main" count="172" uniqueCount="158">
  <si>
    <t xml:space="preserve">Team-Leitfaden Endpräsentation – Elbharz Getränke GbR</t>
  </si>
  <si>
    <t xml:space="preserve">Gemeinsam in OneDrive/SharePoint öffnen – alle können gleichzeitig bearbeiten.</t>
  </si>
  <si>
    <t xml:space="preserve">Unsere Namen (hier eintragen – erscheinen dann überall als Spalten und in den Auswahllisten):</t>
  </si>
  <si>
    <t xml:space="preserve">Person 1</t>
  </si>
  <si>
    <t xml:space="preserve">Person 2</t>
  </si>
  <si>
    <t xml:space="preserve">Person 3</t>
  </si>
  <si>
    <t xml:space="preserve">Person 4</t>
  </si>
  <si>
    <t xml:space="preserve">So funktioniert's</t>
  </si>
  <si>
    <t xml:space="preserve">Gelbe Felder</t>
  </si>
  <si>
    <t xml:space="preserve">Hier tragt ihr etwas ein. Alles andere rechnet die Tabelle selbst.</t>
  </si>
  <si>
    <t xml:space="preserve">Blatt „Aufgaben“, Teil A</t>
  </si>
  <si>
    <t xml:space="preserve">Jede:r muss das selbst machen → in der EIGENEN Spalte „✓“ auswählen (Pfeil am Feld). Beispiel: Person 2 hat geprobt → ✓ in der Spalte von Person 2.</t>
  </si>
  <si>
    <t xml:space="preserve">Blatt „Aufgaben“, Teil B</t>
  </si>
  <si>
    <t xml:space="preserve">Eine:r reicht → bei „Erledigt von“ den eigenen Namen auswählen und Datum eintragen. Dann wird die Zeile grün.</t>
  </si>
  <si>
    <t xml:space="preserve">Blatt „Rollen &amp; Zeitplan“</t>
  </si>
  <si>
    <t xml:space="preserve">Wer spricht welche Folie – Namen auswählen. Die Zeiten rechnen sich mit.</t>
  </si>
  <si>
    <t xml:space="preserve">Blatt „Sprechtexte“</t>
  </si>
  <si>
    <t xml:space="preserve">Vorschlag je Folie; in der gelben Spalte schreibt jede:r die eigene Version.</t>
  </si>
  <si>
    <t xml:space="preserve">Blatt „Fragen“</t>
  </si>
  <si>
    <t xml:space="preserve">Mögliche Fragen der Lehrkraft; bei „Wer antwortet“ den Namen auswählen.</t>
  </si>
  <si>
    <t xml:space="preserve">Stand</t>
  </si>
  <si>
    <t xml:space="preserve">Aufgaben</t>
  </si>
  <si>
    <t xml:space="preserve">Teil A: jede:r einzeln abhaken · Teil B: eine:r reicht</t>
  </si>
  <si>
    <t xml:space="preserve">A  Jede:r einzeln – in der eigenen Spalte ✓ setzen</t>
  </si>
  <si>
    <t xml:space="preserve">Nr</t>
  </si>
  <si>
    <t xml:space="preserve">Aufgabe</t>
  </si>
  <si>
    <t xml:space="preserve">Hinweis</t>
  </si>
  <si>
    <t xml:space="preserve">Fortschritt</t>
  </si>
  <si>
    <t xml:space="preserve">Eigenen Sprechtext lesen und in eigene Worte bringen</t>
  </si>
  <si>
    <t xml:space="preserve">Blatt „Sprechtexte“, gelbe Spalte</t>
  </si>
  <si>
    <t xml:space="preserve">Eigenen Teil laut mit Stoppuhr üben</t>
  </si>
  <si>
    <t xml:space="preserve">Zeiten: Blatt „Rollen &amp; Zeitplan“</t>
  </si>
  <si>
    <t xml:space="preserve">Zahlen der eigenen Folien ohne Ablesen erklären können</t>
  </si>
  <si>
    <t xml:space="preserve">z. B. Wirtschaftlichkeit 1,48 in R3</t>
  </si>
  <si>
    <t xml:space="preserve">Fragen zum eigenen Teil beantworten können</t>
  </si>
  <si>
    <t xml:space="preserve">Übergabesatz an die nächste Person geübt</t>
  </si>
  <si>
    <t xml:space="preserve">Wer übergibt mit welchem Satz?</t>
  </si>
  <si>
    <t xml:space="preserve">Reflexion (Folie 10) gelesen – einverstanden oder Einwand gesagt</t>
  </si>
  <si>
    <t xml:space="preserve">Muss unsere gemeinsame Meinung sein</t>
  </si>
  <si>
    <t xml:space="preserve">Komplette Probe mitgemacht</t>
  </si>
  <si>
    <t xml:space="preserve">Ziel: unter 11 Minuten</t>
  </si>
  <si>
    <t xml:space="preserve">B  Eine:r reicht – bei „Erledigt von“ den eigenen Namen auswählen</t>
  </si>
  <si>
    <t xml:space="preserve">Erledigt von</t>
  </si>
  <si>
    <t xml:space="preserve">Datum</t>
  </si>
  <si>
    <t xml:space="preserve">Status</t>
  </si>
  <si>
    <t xml:space="preserve">Notiz</t>
  </si>
  <si>
    <t xml:space="preserve">Sprecher festlegen und Namen eintragen</t>
  </si>
  <si>
    <t xml:space="preserve">Blätter „Start“ und „Rollen &amp; Zeitplan“</t>
  </si>
  <si>
    <t xml:space="preserve">Karte Norddeutschland mit roter Elbe besorgen</t>
  </si>
  <si>
    <t xml:space="preserve">Folie 3</t>
  </si>
  <si>
    <t xml:space="preserve">KI-Teambild erstellen und Tool notieren</t>
  </si>
  <si>
    <t xml:space="preserve">Folie 12 + Quellenfolie</t>
  </si>
  <si>
    <t xml:space="preserve">Herkunft der Bilder Limette und Tamarinde klären</t>
  </si>
  <si>
    <t xml:space="preserve">Quellenfolie</t>
  </si>
  <si>
    <t xml:space="preserve">Optional: Fotos Geld, Maschine, Gebäude</t>
  </si>
  <si>
    <t xml:space="preserve">Folie 9 (sonst bleiben die Symbole)</t>
  </si>
  <si>
    <t xml:space="preserve">Optional: Stichworte zu den Wirtschaftsdienst-Meldungen R2–R6</t>
  </si>
  <si>
    <t xml:space="preserve">Folie 6</t>
  </si>
  <si>
    <t xml:space="preserve">R3 prüfen: 12,6 + 5,6 = 18,2 Paletten bei 18 produzierten</t>
  </si>
  <si>
    <t xml:space="preserve">Arbeitsblatt Umsatzberechnung</t>
  </si>
  <si>
    <t xml:space="preserve">R3 klären: Protokoll „keine neuen Mitarbeiter“ vs. Arbeitsblatt 2 Mitarbeiter</t>
  </si>
  <si>
    <t xml:space="preserve">Antwort parat haben, falls gefragt</t>
  </si>
  <si>
    <t xml:space="preserve">Platzierung nach der Siegerehrung ergänzen</t>
  </si>
  <si>
    <t xml:space="preserve">Optional, Folie 9</t>
  </si>
  <si>
    <t xml:space="preserve">Präsentation am Schulrechner/Beamer testen</t>
  </si>
  <si>
    <t xml:space="preserve">Schriften, Diagramme, Bilder</t>
  </si>
  <si>
    <t xml:space="preserve">Diagramme zeigen deutsche Zahlen (10.000 statt 10,000)</t>
  </si>
  <si>
    <t xml:space="preserve">Beim Test prüfen</t>
  </si>
  <si>
    <t xml:space="preserve">Alle Platzhalter ersetzt („BILD FOLGT“, „[Quelle ergänzen]“)</t>
  </si>
  <si>
    <t xml:space="preserve">Folien 3, 12, 13</t>
  </si>
  <si>
    <t xml:space="preserve">PDF-Version exportieren</t>
  </si>
  <si>
    <t xml:space="preserve">Falls PowerPoint fehlt</t>
  </si>
  <si>
    <t xml:space="preserve">Datei auf USB-Stick und in der Cloud</t>
  </si>
  <si>
    <t xml:space="preserve">Backup</t>
  </si>
  <si>
    <t xml:space="preserve">Präsentation (PPTX + PDF) und Bögen M15 an die Lehrkraft</t>
  </si>
  <si>
    <t xml:space="preserve">Digitale Abgabe</t>
  </si>
  <si>
    <t xml:space="preserve">Rollen &amp; Zeitplan</t>
  </si>
  <si>
    <t xml:space="preserve">Sprecher:in je Folie auswählen. Vorschlag: Person 1 = Folien 1–4, Person 2 = 5–6, Person 3 = 7–9, Person 4 = 10–12.</t>
  </si>
  <si>
    <t xml:space="preserve">Folie</t>
  </si>
  <si>
    <t xml:space="preserve">Titel</t>
  </si>
  <si>
    <t xml:space="preserve">Pflichtteil</t>
  </si>
  <si>
    <t xml:space="preserve">Sprecher:in</t>
  </si>
  <si>
    <t xml:space="preserve">Dauer</t>
  </si>
  <si>
    <t xml:space="preserve">bis (Stoppuhr)</t>
  </si>
  <si>
    <t xml:space="preserve">Primatenbrause (Titel)</t>
  </si>
  <si>
    <t xml:space="preserve">–</t>
  </si>
  <si>
    <t xml:space="preserve">Wer wir sind – in 30 Sekunden</t>
  </si>
  <si>
    <t xml:space="preserve">Einleitung</t>
  </si>
  <si>
    <t xml:space="preserve">Nachhaltigkeit war Teil der Idee</t>
  </si>
  <si>
    <t xml:space="preserve">Produziert, angeboten, verkauft</t>
  </si>
  <si>
    <t xml:space="preserve">Verlauf</t>
  </si>
  <si>
    <t xml:space="preserve">Warum wir so entschieden haben</t>
  </si>
  <si>
    <t xml:space="preserve">Wirtschaftsdienst: Kosten von außen</t>
  </si>
  <si>
    <t xml:space="preserve">Unsere Kennzahlen je Runde</t>
  </si>
  <si>
    <t xml:space="preserve">Auswertung</t>
  </si>
  <si>
    <t xml:space="preserve">Wirtschaftlichkeit und Schlussbestand</t>
  </si>
  <si>
    <t xml:space="preserve">Was unser Unternehmen am Ende wert ist</t>
  </si>
  <si>
    <t xml:space="preserve">Reflexion</t>
  </si>
  <si>
    <t xml:space="preserve">Bezug zur Gründung</t>
  </si>
  <si>
    <t xml:space="preserve">Gründung</t>
  </si>
  <si>
    <t xml:space="preserve">Vielen Dank</t>
  </si>
  <si>
    <t xml:space="preserve">Summe Sprechzeit (ohne Wechsel)</t>
  </si>
  <si>
    <t xml:space="preserve">Zeit je Person</t>
  </si>
  <si>
    <t xml:space="preserve">Grenze laut Aufgabe: 10–12 Minuten. Mit Sprecherwechseln etwa 20–30 Sekunden mehr einplanen.</t>
  </si>
  <si>
    <t xml:space="preserve">Sprechtexte</t>
  </si>
  <si>
    <t xml:space="preserve">Vorschlag je Folie (aus den Notizen der Präsentation). In der gelben Spalte schreibt jede:r die eigene Version.</t>
  </si>
  <si>
    <t xml:space="preserve">Vorschlag</t>
  </si>
  <si>
    <t xml:space="preserve">Eigene Version</t>
  </si>
  <si>
    <t xml:space="preserve">Hallo zusammen, wir sind die Elbharz Getränke GbR aus der 11b, und das ist unsere Primatenbrause, Tamarinde-Limette. In den nächsten elf Minuten zeigen wir euch, was aus unserer Idee im Planspiel geworden ist: von der Gründung über sechs Spielrunden bis zum Verkaufswert unseres Unternehmens.</t>
  </si>
  <si>
    <t xml:space="preserve">Kurz zur Erinnerung, wer wir sind. Unser Ausgangspunkt war ein Getränk, dessen Rückseite man zu Ende lesen kann. Das war unsere einzige Vorgabe, und daran haben wir bei der Gründung alles andere gemessen. Hier seht ihr die Rückseite: sechs Zutaten, mehr nicht – Wasser, Kohlensäure, Tamarinde, Limettensaft, Meersalz und Magnesium. Wir sind vier Gesellschafter aus Hamburg. Unsere Zielgruppe sind 16- bis 25-Jährige wie unsere Persona Jasper, der im Laden die Flasche umdreht und die Zutaten liest. Verkaufen wollten wir zuerst online und über Social Media, danach im regionalen Handel. Und warum Tamarinde? Die gibt es in Deutschland in Getränken kaum – herb statt süß.</t>
  </si>
  <si>
    <t xml:space="preserve">Nachhaltigkeit hatten wir von Anfang an im Blick. Erstens Mehrweg: Glasflaschen im Pfandsystem statt Einweg – die leere Flasche kommt zurück, wird gespült und neu befüllt. Zweitens regional: Glas ist schwer, Mehrweg lohnt sich deshalb nur bei kurzen Wegen. Darum wollten wir in Norddeutschland herstellen und abfüllen. Drittens nur eine Sorte: Das spart Aufwand bei Produktion, Lager und Transport. Wichtig war uns dabei, nur zu versprechen, was man auf dem Etikett überprüfen kann. Ehrlich gesagt spielte das im Planspiel keine Rolle, dort entschied nur der Preis über den Absatz. Darauf kommen wir am Ende beim Bezug zur Gründung zurück.</t>
  </si>
  <si>
    <t xml:space="preserve">Hier seht ihr alle sechs Runden auf einen Blick. Jede Säule zeigt, wie viele Paletten wir produziert haben, darunter steht unser Angebotspreis. Petrol ist, was wir am normalen Markt verkauft haben. Orange mussten wir für nur 1.000 Euro pro Palette am Schnäppchenmarkt loswerden, denn Brause verdirbt nach einer Runde. In Runde 1 haben wir zu 3.000 Euro alles verkauft. In Runde 2 haben wir den Preis auf 7.600 Euro erhöht, da blieb die Hälfte liegen. Mit 5.900 Euro in Runde 3 lief es am besten: 70 Prozent gingen am Markt weg. In Runde 4 und 5 haben wir nur noch eine Palette produziert und davon trotzdem nur die Hälfte bzw. ein Fünftel verkauft. In Runde 6 waren es noch einmal 13 Paletten.</t>
  </si>
  <si>
    <t xml:space="preserve">Warum haben wir so entschieden? Das steht in unserem Entscheidungsprotokoll, und unten auf jeder Karte seht ihr, was die Runde für unseren Kassenstand bedeutet hat. In Runde 1 haben wir eine Economy-Maschine gekauft, weil sich Standard mit dem zusätzlichen Mitarbeiter nicht gelohnt hätte, und bewusst günstig angeboten. Weil alles weg war, dachten wir in Runde 2, die anderen sind teurer, und sind drastisch auf 7.600 Euro hoch. Außerdem haben wir eine zweite Maschine gekauft – aber noch ohne Mitarbeiter, sie stand also still. In Runde 3 kam der zweite Mitarbeiter dazu, und wir haben knapp unter den vermuteten 6.000 Euro der Konkurrenz angeboten. Das war unsere einzige Runde mit deutlichem Plus. In Runde 4 und 5 haben wir weniger Absatz erwartet und nur eine Palette produziert, aber zu 9.500 Euro. In Runde 6 wollten wir zum Schluss noch einmal Umsatz machen.</t>
  </si>
  <si>
    <t xml:space="preserve">Ab Runde 2 kamen die Meldungen des Wirtschaftsdienstes dazu. Bei uns stehen sie im Kassenbuch als sonstige Kosten: insgesamt 34.000 Euro, am meisten in Runde 2 und Runde 5 mit je 10.000 Euro. Das sind rund zwölf Prozent unserer gesamten Kosten. Rein rechnerisch läge unser Verkaufswert ohne diese Kosten bei 117.770 Euro, also über dem Startkapital. Diese Kosten konnten wir nicht beeinflussen, aber wir hätten sie bei Preis und Menge einplanen können. Das soll keine Ausrede sein, zeigt aber, wie stark äußere Einflüsse wirken – und dass wir Rücklagen gebraucht hätten. [Wenn ihr den Wortlaut der Meldungen noch wisst: hier pro Runde ein Stichwort nennen.]</t>
  </si>
  <si>
    <t xml:space="preserve">Für die Auswertung haben wir zwei Kennzahlen berechnet. Die wichtigste ist die Wirtschaftlichkeit: Umsatzerlöse geteilt durch die Kosten der Runde. In Runde 3 waren das 79.940 Euro Umsatz geteilt durch 54.000 Euro Kosten, also 1,48 – für jeden eingesetzten Euro kamen 1,48 Euro zurück. Über 1 heißt Gewinn, unter 1 Verlust; das schaffen nur Runde 3 und 6. Die zweite Kennzahl ist die Absatzquote: Wie viel Prozent unserer Produktion haben wir am normalen Markt verkauft? Sie zeigt, ob unser Preis zum Markt gepasst hat – von 100 Prozent in Runde 1 bis 20 Prozent in Runde 5. Zur Aussagekraft: Die Wirtschaftlichkeit rechnet Maschinenkäufe voll in die Kaufrunde. Würde man nur den Wertverlust von 10 Prozent ansetzen, wären auch Runde 1 und 2 knapp wirtschaftlich gewesen. Die vollständige Kostentabelle steht in unserem Auswertungsbogen M15.</t>
  </si>
  <si>
    <t xml:space="preserve">Beide Grafiken kennt ihr aus dem Auswertungsbogen. Links die Wirtschaftlichkeit je Runde, die gestrichelte Linie markiert 1, ab dort lohnt sich eine Runde. Nur Runde 3 und 6 liegen darüber, über alle sechs Runden kommen wir auf 0,84. Runde 4 und 5 sind besonders schwach: Wir haben kaum etwas verkauft, aber Personal und Miete liefen weiter. Rechts seht ihr, wie sich unser Startkapital über die Schlussbestände entwickelt hat. Wir sind mit 100.000 Euro gestartet. Die Maschinenkäufe drücken Runde 1 und 2, nach Runde 3 hatten wir mit 82.840 Euro unseren besten Stand, nach Runde 5 mit 47.790 Euro den Tiefpunkt, und am Ende stehen 53.770 Euro in der Kasse. Was das Unternehmen insgesamt wert ist, zeigt die nächste Folie.</t>
  </si>
  <si>
    <t xml:space="preserve">Am Ende wird unser Unternehmen verkauft. Der Wert ist der Schlussbestand plus der Restwert der Maschinen. Der Schlussbestand nach Runde 6 sind 53.770 Euro. Jede Maschine verliert pro genutzter Runde zehn Prozent ihres Kaufpreises: Die erste Maschine lief sechs Runden und ist noch 12.000 Euro wert, die zweite lief vier Runden, weil sie in Runde 2 ohne Mitarbeiter stillstand, und ist noch 18.000 Euro wert. Zusammen ergibt das einen Verkaufswert von 83.770 Euro. Das sind 16.230 Euro weniger als unser Startkapital. Zum Vergleich: Allein die zwei Maschinen haben 60.000 Euro gekostet, davon stecken noch 30.000 Euro im Unternehmenswert.</t>
  </si>
  <si>
    <t xml:space="preserve">Im Nachhinein bewerten wir unsere Entscheidungen so. Gut war, dass wir vorsichtig mit nur einer Maschine gestartet sind, wie es die Spielanleitung empfiehlt, und dass wir nach Runde 2 schnell reagiert haben: Mit 5.900 Euro kam unsere beste Runde. Schlecht war vor allem unser Preis ab Runde 4. Wir haben weniger Absatz erwartet und trotzdem die höchsten Preise des ganzen Spiels verlangt, 9.500 und 8.400 Euro – dabei bestimmt der Preis den Absatz. Verkauft haben wir nur 20 bis 50 Prozent. Dazu kamen je 13.000 Euro Fixkosten für eine einzige Palette. Und die zweite Maschine für 30.000 Euro haben wir nur in Runde 3 wirklich gebraucht, sonst hätte eine gereicht. In Runde 1 war der Preis dagegen eher zu niedrig, da ging alles sofort weg. Anders machen würden wir: beim Preis von Runde 3 bleiben, Maschinen nur kaufen, wenn wir sie auslasten und besetzen können, und das Personal an die Produktion anpassen. Unser Fazit: Der Preis war unser stärkster Hebel, und Fixkosten laufen weiter, auch wenn man kaum verkauft.</t>
  </si>
  <si>
    <t xml:space="preserve">Zum Schluss der Blick zurück auf unsere Gründung. Vieles, was uns wichtig war, kam im Spiel nicht vor, und jedes davon hätte etwas verändert. Mehrweg hätte Kosten gebracht, für Rücknahme, Spülen und Rücktransport. Unsere Zielgruppe mit Persona Jasper hätte bedeutet, dass der Absatz nicht nur vom Preis abhängt, sondern auch davon, wen man anspricht. Mit Social Media und Onlineshop hätten wir in Runde 4 und 5 Werbung machen können, statt nur eine Palette anzubieten. Und unsere besondere Sorte Tamarinde-Limette ist ein Alleinstellungsmerkmal – damit hätten wir vielleicht einen höheren Preis bei gleichem Absatz verlangen können. Im Spiel war aber jede Brause gleich. Wir schlagen deshalb zwei einfache Erweiterungen vor: Erstens ein Marketingbudget – je 2.000 Euro gibt es eine Palette mehr Absatz. Zweitens eine Mehrweg-Option: 1.000 Euro Zusatzkosten je Runde, dafür eine Palette mehr Absatz bei umweltbewussten Kunden. Beides ist nur eine Zeile mehr im Kassenbuch.</t>
  </si>
  <si>
    <t xml:space="preserve">Das war unser Weg mit der Primatenbrause, von der Idee bis zum Verkaufswert. Vielen Dank fürs Zuhören, wir freuen uns auf eure Fragen.</t>
  </si>
  <si>
    <t xml:space="preserve">Mögliche Fragen der Lehrkraft</t>
  </si>
  <si>
    <t xml:space="preserve">Antworten sind Vorschläge – in eigenen Worten sagen. Bei „Wer antwortet“ den Namen auswählen.</t>
  </si>
  <si>
    <t xml:space="preserve">Frage</t>
  </si>
  <si>
    <t xml:space="preserve">Antwortidee</t>
  </si>
  <si>
    <t xml:space="preserve">Zahl zum Belegen</t>
  </si>
  <si>
    <t xml:space="preserve">Wer antwortet</t>
  </si>
  <si>
    <t xml:space="preserve">Warum habt ihr in Runde 2 eine Maschine ohne Mitarbeiter gekauft?</t>
  </si>
  <si>
    <t xml:space="preserve">Wir wollten für Runde 3 Kapazität aufbauen; Personal kam erst in R3. Im Nachhinein hätten wir beides zusammen planen sollen.</t>
  </si>
  <si>
    <t xml:space="preserve">30.000 €, in R2 ungenutzt</t>
  </si>
  <si>
    <t xml:space="preserve">Warum in R4 und R5 nur eine Palette – und dann so teuer?</t>
  </si>
  <si>
    <t xml:space="preserve">Wir erwarteten weniger Absatz (Protokoll: „Beliebtheit nicht dauerhaft“, Marktanalyse). Der hohe Preis war ein Fehler: Der Preis bestimmt den Absatz.</t>
  </si>
  <si>
    <t xml:space="preserve">0,5 bzw. 0,2 Paletten verkauft</t>
  </si>
  <si>
    <t xml:space="preserve">Warum habt ihr das Personal in R4/R5 nicht reduziert?</t>
  </si>
  <si>
    <t xml:space="preserve">Ehrlich: nicht bedacht. Ein Mitarbeiter weniger hätte je Runde 4.000 € gespart.</t>
  </si>
  <si>
    <t xml:space="preserve">8.000 € für R4 + R5</t>
  </si>
  <si>
    <t xml:space="preserve">War der Preis in R1 zu niedrig?</t>
  </si>
  <si>
    <t xml:space="preserve">Vermutlich: Alles war sofort weg. In R3 haben wir zu 5.900 € noch 70 % am Markt verkauft.</t>
  </si>
  <si>
    <t xml:space="preserve">3.000 € vs. 5.900 €</t>
  </si>
  <si>
    <t xml:space="preserve">Wie habt ihr die Wirtschaftlichkeit berechnet?</t>
  </si>
  <si>
    <t xml:space="preserve">Umsatzerlöse geteilt durch alle Kosten der Runde aus dem Kassenbuch.</t>
  </si>
  <si>
    <t xml:space="preserve">R3: 79.940 ÷ 54.000 = 1,48</t>
  </si>
  <si>
    <t xml:space="preserve">Was sagt die Absatzquote aus?</t>
  </si>
  <si>
    <t xml:space="preserve">Wie viel Prozent der Produktion am normalen Markt verkauft wurde – also ob der Preis zum Markt passte.</t>
  </si>
  <si>
    <t xml:space="preserve">100 / 50 / 70 / 50 / 20 / 40 %</t>
  </si>
  <si>
    <t xml:space="preserve">Wie kommt ihr auf 18.000 € Restwert für Maschine 2?</t>
  </si>
  <si>
    <t xml:space="preserve">10 % Wertverlust je Runde Nutzungsdauer; sie lief nur R3–R6, also 4 Runden.</t>
  </si>
  <si>
    <t xml:space="preserve">30.000 − 4 × 3.000</t>
  </si>
  <si>
    <t xml:space="preserve">Was war der Wirtschaftsdienst bei euch?</t>
  </si>
  <si>
    <t xml:space="preserve">Zusatzkosten in R2–R6, im Kassenbuch als sonstige Kosten. [Wortlaut der Meldungen ergänzen]</t>
  </si>
  <si>
    <t xml:space="preserve">34.000 € gesamt</t>
  </si>
  <si>
    <t xml:space="preserve">Warum liegt der Verkaufswert unter dem Startkapital?</t>
  </si>
  <si>
    <t xml:space="preserve">Zwei Maschinen für 60.000 €, nur zwei wirtschaftliche Runden, hohe Fixkosten in R4/R5 und 34.000 € Wirtschaftsdienst.</t>
  </si>
  <si>
    <t xml:space="preserve">−16.230 €</t>
  </si>
  <si>
    <t xml:space="preserve">Protokoll sagt „keine neuen Mitarbeiter“ in R3 – das Arbeitsblatt zeigt 2?</t>
  </si>
  <si>
    <t xml:space="preserve">[Gemeinsam klären, welche Angabe stimmt]</t>
  </si>
  <si>
    <t xml:space="preserve">8.000 € Personal in R3</t>
  </si>
  <si>
    <t xml:space="preserve">Wie würde eure Spielerweiterung funktionieren?</t>
  </si>
  <si>
    <t xml:space="preserve">Marketingbudget: je 2.000 € → +1 Palette Absatz. Mehrweg-Option: +1.000 € Kosten je Runde → +1 Palette Absatz. Nur eine Zeile mehr im Kassenbuch.</t>
  </si>
</sst>
</file>

<file path=xl/styles.xml><?xml version="1.0" encoding="utf-8"?>
<styleSheet xmlns="http://schemas.openxmlformats.org/spreadsheetml/2006/main">
  <numFmts count="3">
    <numFmt numFmtId="164" formatCode="General"/>
    <numFmt numFmtId="165" formatCode="dd\.mm\.yyyy"/>
    <numFmt numFmtId="166" formatCode="[m]:ss"/>
  </numFmts>
  <fonts count="15">
    <font>
      <sz val="11"/>
      <color theme="1"/>
      <name val="Calibri"/>
      <family val="2"/>
      <charset val="1"/>
    </font>
    <font>
      <sz val="10"/>
      <name val="Arial"/>
      <family val="0"/>
    </font>
    <font>
      <sz val="10"/>
      <name val="Arial"/>
      <family val="0"/>
    </font>
    <font>
      <sz val="10"/>
      <name val="Arial"/>
      <family val="0"/>
    </font>
    <font>
      <b val="true"/>
      <sz val="16"/>
      <color rgb="FF0F5C6B"/>
      <name val="Arial"/>
      <family val="0"/>
      <charset val="1"/>
    </font>
    <font>
      <i val="true"/>
      <sz val="10"/>
      <color rgb="FF5F8F99"/>
      <name val="Arial"/>
      <family val="0"/>
      <charset val="1"/>
    </font>
    <font>
      <b val="true"/>
      <sz val="11"/>
      <name val="Arial"/>
      <family val="0"/>
      <charset val="1"/>
    </font>
    <font>
      <sz val="11"/>
      <name val="Arial"/>
      <family val="0"/>
      <charset val="1"/>
    </font>
    <font>
      <b val="true"/>
      <sz val="12"/>
      <color rgb="FF0F5C6B"/>
      <name val="Arial"/>
      <family val="0"/>
      <charset val="1"/>
    </font>
    <font>
      <b val="true"/>
      <sz val="10"/>
      <color rgb="FF1B2A2F"/>
      <name val="Arial"/>
      <family val="0"/>
      <charset val="1"/>
    </font>
    <font>
      <b val="true"/>
      <sz val="11"/>
      <color rgb="FF0F5C6B"/>
      <name val="Arial"/>
      <family val="0"/>
      <charset val="1"/>
    </font>
    <font>
      <b val="true"/>
      <sz val="12"/>
      <color rgb="FFD9822B"/>
      <name val="Arial"/>
      <family val="0"/>
      <charset val="1"/>
    </font>
    <font>
      <b val="true"/>
      <sz val="11"/>
      <color rgb="FFFFFFFF"/>
      <name val="Arial"/>
      <family val="0"/>
      <charset val="1"/>
    </font>
    <font>
      <b val="true"/>
      <sz val="12"/>
      <color rgb="FF3D6610"/>
      <name val="Arial"/>
      <family val="0"/>
      <charset val="1"/>
    </font>
    <font>
      <i val="true"/>
      <sz val="11"/>
      <color rgb="FF5F8F99"/>
      <name val="Arial"/>
      <family val="0"/>
      <charset val="1"/>
    </font>
  </fonts>
  <fills count="4">
    <fill>
      <patternFill patternType="none"/>
    </fill>
    <fill>
      <patternFill patternType="gray125"/>
    </fill>
    <fill>
      <patternFill patternType="solid">
        <fgColor rgb="FFFFF4D6"/>
        <bgColor rgb="FFFFFFFF"/>
      </patternFill>
    </fill>
    <fill>
      <patternFill patternType="solid">
        <fgColor rgb="FF0F5C6B"/>
        <bgColor rgb="FF008080"/>
      </patternFill>
    </fill>
  </fills>
  <borders count="2">
    <border diagonalUp="false" diagonalDown="false">
      <left/>
      <right/>
      <top/>
      <bottom/>
      <diagonal/>
    </border>
    <border diagonalUp="false" diagonalDown="false">
      <left style="thin">
        <color rgb="FFD3D1C8"/>
      </left>
      <right style="thin">
        <color rgb="FFD3D1C8"/>
      </right>
      <top style="thin">
        <color rgb="FFD3D1C8"/>
      </top>
      <bottom style="thin">
        <color rgb="FFD3D1C8"/>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3" borderId="1" xfId="0" applyFont="true" applyBorder="true" applyAlignment="true" applyProtection="false">
      <alignment horizontal="general" vertical="center" textRotation="0" wrapText="true" indent="0" shrinkToFit="false"/>
      <protection locked="true" hidden="false"/>
    </xf>
    <xf numFmtId="164" fontId="12" fillId="3"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general" vertical="center" textRotation="0" wrapText="true" indent="0" shrinkToFit="false"/>
      <protection locked="true" hidden="false"/>
    </xf>
    <xf numFmtId="164" fontId="13" fillId="2" borderId="1" xfId="0" applyFont="true" applyBorder="true" applyAlignment="true" applyProtection="false">
      <alignment horizontal="center" vertical="center" textRotation="0" wrapText="fals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5" fontId="7" fillId="2" borderId="1" xfId="0" applyFont="true" applyBorder="true" applyAlignment="true" applyProtection="false">
      <alignment horizontal="general" vertical="center" textRotation="0" wrapText="true" indent="0" shrinkToFit="false"/>
      <protection locked="true" hidden="false"/>
    </xf>
    <xf numFmtId="164" fontId="6" fillId="0" borderId="1" xfId="0" applyFont="true" applyBorder="true" applyAlignment="true" applyProtection="false">
      <alignment horizontal="general" vertical="center" textRotation="0" wrapText="true" indent="0" shrinkToFit="false"/>
      <protection locked="true" hidden="false"/>
    </xf>
    <xf numFmtId="166" fontId="7" fillId="0" borderId="1" xfId="0" applyFont="true" applyBorder="true" applyAlignment="true" applyProtection="false">
      <alignment horizontal="general" vertical="center" textRotation="0" wrapText="tru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7" fillId="2"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ill>
        <patternFill>
          <bgColor rgb="FFDDEFC6"/>
        </patternFill>
      </fill>
    </dxf>
  </dxfs>
  <colors>
    <indexedColors>
      <rgbColor rgb="FF000000"/>
      <rgbColor rgb="FFFFFFFF"/>
      <rgbColor rgb="FFFF0000"/>
      <rgbColor rgb="FF00FF00"/>
      <rgbColor rgb="FF0000FF"/>
      <rgbColor rgb="FFFFFF00"/>
      <rgbColor rgb="FFFF00FF"/>
      <rgbColor rgb="FF00FFFF"/>
      <rgbColor rgb="FF800000"/>
      <rgbColor rgb="FF3D6610"/>
      <rgbColor rgb="FF000080"/>
      <rgbColor rgb="FF808000"/>
      <rgbColor rgb="FF800080"/>
      <rgbColor rgb="FF0F5C6B"/>
      <rgbColor rgb="FFD3D1C8"/>
      <rgbColor rgb="FF5F8F99"/>
      <rgbColor rgb="FF9999FF"/>
      <rgbColor rgb="FF993366"/>
      <rgbColor rgb="FFFFF4D6"/>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DDEFC6"/>
      <rgbColor rgb="FFFFFF99"/>
      <rgbColor rgb="FF99CCFF"/>
      <rgbColor rgb="FFFF99CC"/>
      <rgbColor rgb="FFCC99FF"/>
      <rgbColor rgb="FFFFCC99"/>
      <rgbColor rgb="FF3366FF"/>
      <rgbColor rgb="FF33CCCC"/>
      <rgbColor rgb="FF8DB33A"/>
      <rgbColor rgb="FFFFCC00"/>
      <rgbColor rgb="FFD9822B"/>
      <rgbColor rgb="FFFF6600"/>
      <rgbColor rgb="FF666699"/>
      <rgbColor rgb="FF969696"/>
      <rgbColor rgb="FF003366"/>
      <rgbColor rgb="FF339966"/>
      <rgbColor rgb="FF003300"/>
      <rgbColor rgb="FF333300"/>
      <rgbColor rgb="FF993300"/>
      <rgbColor rgb="FF993366"/>
      <rgbColor rgb="FF333399"/>
      <rgbColor rgb="FF1B2A2F"/>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F5C6B"/>
    <pageSetUpPr fitToPage="true"/>
  </sheetPr>
  <dimension ref="A1:B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90"/>
  </cols>
  <sheetData>
    <row r="1" customFormat="false" ht="19.7"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3"/>
    </row>
    <row r="5" customFormat="false" ht="15" hidden="false" customHeight="false" outlineLevel="0" collapsed="false">
      <c r="A5" s="4" t="s">
        <v>3</v>
      </c>
      <c r="B5" s="5"/>
    </row>
    <row r="6" customFormat="false" ht="15" hidden="false" customHeight="false" outlineLevel="0" collapsed="false">
      <c r="A6" s="4" t="s">
        <v>4</v>
      </c>
      <c r="B6" s="5"/>
    </row>
    <row r="7" customFormat="false" ht="15" hidden="false" customHeight="false" outlineLevel="0" collapsed="false">
      <c r="A7" s="4" t="s">
        <v>5</v>
      </c>
      <c r="B7" s="5"/>
    </row>
    <row r="8" customFormat="false" ht="15" hidden="false" customHeight="false" outlineLevel="0" collapsed="false">
      <c r="A8" s="4" t="s">
        <v>6</v>
      </c>
      <c r="B8" s="5"/>
    </row>
    <row r="11" customFormat="false" ht="15" hidden="false" customHeight="false" outlineLevel="0" collapsed="false">
      <c r="A11" s="6" t="s">
        <v>7</v>
      </c>
      <c r="B11" s="7"/>
    </row>
    <row r="12" customFormat="false" ht="15" hidden="false" customHeight="false" outlineLevel="0" collapsed="false">
      <c r="A12" s="8" t="s">
        <v>8</v>
      </c>
      <c r="B12" s="7" t="s">
        <v>9</v>
      </c>
    </row>
    <row r="13" customFormat="false" ht="26.85" hidden="false" customHeight="false" outlineLevel="0" collapsed="false">
      <c r="A13" s="8" t="s">
        <v>10</v>
      </c>
      <c r="B13" s="7" t="s">
        <v>11</v>
      </c>
    </row>
    <row r="14" customFormat="false" ht="26.85" hidden="false" customHeight="false" outlineLevel="0" collapsed="false">
      <c r="A14" s="8" t="s">
        <v>12</v>
      </c>
      <c r="B14" s="7" t="s">
        <v>13</v>
      </c>
    </row>
    <row r="15" customFormat="false" ht="15" hidden="false" customHeight="false" outlineLevel="0" collapsed="false">
      <c r="A15" s="8" t="s">
        <v>14</v>
      </c>
      <c r="B15" s="7" t="s">
        <v>15</v>
      </c>
    </row>
    <row r="16" customFormat="false" ht="15" hidden="false" customHeight="false" outlineLevel="0" collapsed="false">
      <c r="A16" s="8" t="s">
        <v>16</v>
      </c>
      <c r="B16" s="7" t="s">
        <v>17</v>
      </c>
    </row>
    <row r="17" customFormat="false" ht="15" hidden="false" customHeight="false" outlineLevel="0" collapsed="false">
      <c r="A17" s="8" t="s">
        <v>18</v>
      </c>
      <c r="B17" s="7" t="s">
        <v>19</v>
      </c>
    </row>
    <row r="19" customFormat="false" ht="15" hidden="false" customHeight="false" outlineLevel="0" collapsed="false">
      <c r="A19" s="9" t="s">
        <v>20</v>
      </c>
      <c r="B19" s="10" t="str">
        <f aca="false">Aufgaben!B3</f>
        <v>Stand – Teil A: 0 von 28 Häkchen · Teil B: 0 von 15 Aufgaben erledigt</v>
      </c>
    </row>
  </sheetData>
  <mergeCells count="1">
    <mergeCell ref="A4:B4"/>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822B"/>
    <pageSetUpPr fitToPage="true"/>
  </sheetPr>
  <dimension ref="A1:H32"/>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52"/>
    <col collapsed="false" customWidth="true" hidden="false" outlineLevel="0" max="3" min="3" style="0" width="34"/>
    <col collapsed="false" customWidth="true" hidden="false" outlineLevel="0" max="7" min="4" style="0" width="13"/>
    <col collapsed="false" customWidth="true" hidden="false" outlineLevel="0" max="8" min="8" style="0" width="12"/>
  </cols>
  <sheetData>
    <row r="1" customFormat="false" ht="19.7" hidden="false" customHeight="false" outlineLevel="0" collapsed="false">
      <c r="A1" s="1" t="s">
        <v>21</v>
      </c>
    </row>
    <row r="2" customFormat="false" ht="15" hidden="false" customHeight="false" outlineLevel="0" collapsed="false">
      <c r="A2" s="2" t="s">
        <v>22</v>
      </c>
    </row>
    <row r="3" customFormat="false" ht="15" hidden="false" customHeight="false" outlineLevel="0" collapsed="false">
      <c r="B3" s="10" t="str">
        <f aca="false">"Stand – Teil A: "&amp;COUNTIF(D7:G13,"✓")&amp;" von "&amp;28&amp;" Häkchen · Teil B: "&amp;COUNTIF(F18:F32,"✓ erledigt")&amp;" von "&amp;15&amp;" Aufgaben erledigt"</f>
        <v>Stand – Teil A: 0 von 28 Häkchen · Teil B: 0 von 15 Aufgaben erledigt</v>
      </c>
    </row>
    <row r="5" customFormat="false" ht="15" hidden="false" customHeight="false" outlineLevel="0" collapsed="false">
      <c r="A5" s="11" t="s">
        <v>23</v>
      </c>
    </row>
    <row r="6" customFormat="false" ht="15" hidden="false" customHeight="false" outlineLevel="0" collapsed="false">
      <c r="A6" s="12" t="s">
        <v>24</v>
      </c>
      <c r="B6" s="12" t="s">
        <v>25</v>
      </c>
      <c r="C6" s="12" t="s">
        <v>26</v>
      </c>
      <c r="D6" s="13" t="str">
        <f aca="false">IF(Start!$B$5="","Person 1",Start!$B$5)</f>
        <v>Person 1</v>
      </c>
      <c r="E6" s="13" t="str">
        <f aca="false">IF(Start!$B$6="","Person 2",Start!$B$6)</f>
        <v>Person 2</v>
      </c>
      <c r="F6" s="13" t="str">
        <f aca="false">IF(Start!$B$7="","Person 3",Start!$B$7)</f>
        <v>Person 3</v>
      </c>
      <c r="G6" s="13" t="str">
        <f aca="false">IF(Start!$B$8="","Person 4",Start!$B$8)</f>
        <v>Person 4</v>
      </c>
      <c r="H6" s="12" t="s">
        <v>27</v>
      </c>
    </row>
    <row r="7" customFormat="false" ht="15" hidden="false" customHeight="false" outlineLevel="0" collapsed="false">
      <c r="A7" s="14" t="n">
        <v>1</v>
      </c>
      <c r="B7" s="14" t="s">
        <v>28</v>
      </c>
      <c r="C7" s="14" t="s">
        <v>29</v>
      </c>
      <c r="D7" s="15"/>
      <c r="E7" s="15"/>
      <c r="F7" s="15"/>
      <c r="G7" s="15"/>
      <c r="H7" s="14" t="str">
        <f aca="false">COUNTIF(D7:G7,"✓")&amp;" / 4"</f>
        <v>0 / 4</v>
      </c>
    </row>
    <row r="8" customFormat="false" ht="15" hidden="false" customHeight="false" outlineLevel="0" collapsed="false">
      <c r="A8" s="14" t="n">
        <v>2</v>
      </c>
      <c r="B8" s="14" t="s">
        <v>30</v>
      </c>
      <c r="C8" s="14" t="s">
        <v>31</v>
      </c>
      <c r="D8" s="15"/>
      <c r="E8" s="15"/>
      <c r="F8" s="15"/>
      <c r="G8" s="15"/>
      <c r="H8" s="14" t="str">
        <f aca="false">COUNTIF(D8:G8,"✓")&amp;" / 4"</f>
        <v>0 / 4</v>
      </c>
    </row>
    <row r="9" customFormat="false" ht="26.85" hidden="false" customHeight="false" outlineLevel="0" collapsed="false">
      <c r="A9" s="14" t="n">
        <v>3</v>
      </c>
      <c r="B9" s="14" t="s">
        <v>32</v>
      </c>
      <c r="C9" s="14" t="s">
        <v>33</v>
      </c>
      <c r="D9" s="15"/>
      <c r="E9" s="15"/>
      <c r="F9" s="15"/>
      <c r="G9" s="15"/>
      <c r="H9" s="14" t="str">
        <f aca="false">COUNTIF(D9:G9,"✓")&amp;" / 4"</f>
        <v>0 / 4</v>
      </c>
    </row>
    <row r="10" customFormat="false" ht="15" hidden="false" customHeight="false" outlineLevel="0" collapsed="false">
      <c r="A10" s="14" t="n">
        <v>4</v>
      </c>
      <c r="B10" s="14" t="s">
        <v>34</v>
      </c>
      <c r="C10" s="14" t="s">
        <v>18</v>
      </c>
      <c r="D10" s="15"/>
      <c r="E10" s="15"/>
      <c r="F10" s="15"/>
      <c r="G10" s="15"/>
      <c r="H10" s="14" t="str">
        <f aca="false">COUNTIF(D10:G10,"✓")&amp;" / 4"</f>
        <v>0 / 4</v>
      </c>
    </row>
    <row r="11" customFormat="false" ht="15" hidden="false" customHeight="false" outlineLevel="0" collapsed="false">
      <c r="A11" s="14" t="n">
        <v>5</v>
      </c>
      <c r="B11" s="14" t="s">
        <v>35</v>
      </c>
      <c r="C11" s="14" t="s">
        <v>36</v>
      </c>
      <c r="D11" s="15"/>
      <c r="E11" s="15"/>
      <c r="F11" s="15"/>
      <c r="G11" s="15"/>
      <c r="H11" s="14" t="str">
        <f aca="false">COUNTIF(D11:G11,"✓")&amp;" / 4"</f>
        <v>0 / 4</v>
      </c>
    </row>
    <row r="12" customFormat="false" ht="26.85" hidden="false" customHeight="false" outlineLevel="0" collapsed="false">
      <c r="A12" s="14" t="n">
        <v>6</v>
      </c>
      <c r="B12" s="14" t="s">
        <v>37</v>
      </c>
      <c r="C12" s="14" t="s">
        <v>38</v>
      </c>
      <c r="D12" s="15"/>
      <c r="E12" s="15"/>
      <c r="F12" s="15"/>
      <c r="G12" s="15"/>
      <c r="H12" s="14" t="str">
        <f aca="false">COUNTIF(D12:G12,"✓")&amp;" / 4"</f>
        <v>0 / 4</v>
      </c>
    </row>
    <row r="13" customFormat="false" ht="15" hidden="false" customHeight="false" outlineLevel="0" collapsed="false">
      <c r="A13" s="14" t="n">
        <v>7</v>
      </c>
      <c r="B13" s="14" t="s">
        <v>39</v>
      </c>
      <c r="C13" s="14" t="s">
        <v>40</v>
      </c>
      <c r="D13" s="15"/>
      <c r="E13" s="15"/>
      <c r="F13" s="15"/>
      <c r="G13" s="15"/>
      <c r="H13" s="14" t="str">
        <f aca="false">COUNTIF(D13:G13,"✓")&amp;" / 4"</f>
        <v>0 / 4</v>
      </c>
    </row>
    <row r="16" customFormat="false" ht="15" hidden="false" customHeight="false" outlineLevel="0" collapsed="false">
      <c r="A16" s="11" t="s">
        <v>41</v>
      </c>
    </row>
    <row r="17" customFormat="false" ht="15" hidden="false" customHeight="true" outlineLevel="0" collapsed="false">
      <c r="A17" s="12" t="s">
        <v>24</v>
      </c>
      <c r="B17" s="12" t="s">
        <v>25</v>
      </c>
      <c r="C17" s="12" t="s">
        <v>26</v>
      </c>
      <c r="D17" s="12" t="s">
        <v>42</v>
      </c>
      <c r="E17" s="12" t="s">
        <v>43</v>
      </c>
      <c r="F17" s="12" t="s">
        <v>44</v>
      </c>
      <c r="G17" s="12" t="s">
        <v>45</v>
      </c>
      <c r="H17" s="12"/>
    </row>
    <row r="18" customFormat="false" ht="26.85" hidden="false" customHeight="false" outlineLevel="0" collapsed="false">
      <c r="A18" s="14" t="n">
        <v>1</v>
      </c>
      <c r="B18" s="14" t="s">
        <v>46</v>
      </c>
      <c r="C18" s="14" t="s">
        <v>47</v>
      </c>
      <c r="D18" s="16"/>
      <c r="E18" s="17"/>
      <c r="F18" s="18" t="str">
        <f aca="false">IF(D18="","offen","✓ erledigt")</f>
        <v>offen</v>
      </c>
      <c r="G18" s="16"/>
      <c r="H18" s="16"/>
    </row>
    <row r="19" customFormat="false" ht="15" hidden="false" customHeight="false" outlineLevel="0" collapsed="false">
      <c r="A19" s="14" t="n">
        <v>2</v>
      </c>
      <c r="B19" s="14" t="s">
        <v>48</v>
      </c>
      <c r="C19" s="14" t="s">
        <v>49</v>
      </c>
      <c r="D19" s="16"/>
      <c r="E19" s="17"/>
      <c r="F19" s="18" t="str">
        <f aca="false">IF(D19="","offen","✓ erledigt")</f>
        <v>offen</v>
      </c>
      <c r="G19" s="16"/>
      <c r="H19" s="16"/>
    </row>
    <row r="20" customFormat="false" ht="15" hidden="false" customHeight="false" outlineLevel="0" collapsed="false">
      <c r="A20" s="14" t="n">
        <v>3</v>
      </c>
      <c r="B20" s="14" t="s">
        <v>50</v>
      </c>
      <c r="C20" s="14" t="s">
        <v>51</v>
      </c>
      <c r="D20" s="16"/>
      <c r="E20" s="17"/>
      <c r="F20" s="18" t="str">
        <f aca="false">IF(D20="","offen","✓ erledigt")</f>
        <v>offen</v>
      </c>
      <c r="G20" s="16"/>
      <c r="H20" s="16"/>
    </row>
    <row r="21" customFormat="false" ht="15" hidden="false" customHeight="false" outlineLevel="0" collapsed="false">
      <c r="A21" s="14" t="n">
        <v>4</v>
      </c>
      <c r="B21" s="14" t="s">
        <v>52</v>
      </c>
      <c r="C21" s="14" t="s">
        <v>53</v>
      </c>
      <c r="D21" s="16"/>
      <c r="E21" s="17"/>
      <c r="F21" s="18" t="str">
        <f aca="false">IF(D21="","offen","✓ erledigt")</f>
        <v>offen</v>
      </c>
      <c r="G21" s="16"/>
      <c r="H21" s="16"/>
    </row>
    <row r="22" customFormat="false" ht="15" hidden="false" customHeight="false" outlineLevel="0" collapsed="false">
      <c r="A22" s="14" t="n">
        <v>5</v>
      </c>
      <c r="B22" s="14" t="s">
        <v>54</v>
      </c>
      <c r="C22" s="14" t="s">
        <v>55</v>
      </c>
      <c r="D22" s="16"/>
      <c r="E22" s="17"/>
      <c r="F22" s="18" t="str">
        <f aca="false">IF(D22="","offen","✓ erledigt")</f>
        <v>offen</v>
      </c>
      <c r="G22" s="16"/>
      <c r="H22" s="16"/>
    </row>
    <row r="23" customFormat="false" ht="26.85" hidden="false" customHeight="false" outlineLevel="0" collapsed="false">
      <c r="A23" s="14" t="n">
        <v>6</v>
      </c>
      <c r="B23" s="14" t="s">
        <v>56</v>
      </c>
      <c r="C23" s="14" t="s">
        <v>57</v>
      </c>
      <c r="D23" s="16"/>
      <c r="E23" s="17"/>
      <c r="F23" s="18" t="str">
        <f aca="false">IF(D23="","offen","✓ erledigt")</f>
        <v>offen</v>
      </c>
      <c r="G23" s="16"/>
      <c r="H23" s="16"/>
    </row>
    <row r="24" customFormat="false" ht="26.85" hidden="false" customHeight="false" outlineLevel="0" collapsed="false">
      <c r="A24" s="14" t="n">
        <v>7</v>
      </c>
      <c r="B24" s="14" t="s">
        <v>58</v>
      </c>
      <c r="C24" s="14" t="s">
        <v>59</v>
      </c>
      <c r="D24" s="16"/>
      <c r="E24" s="17"/>
      <c r="F24" s="18" t="str">
        <f aca="false">IF(D24="","offen","✓ erledigt")</f>
        <v>offen</v>
      </c>
      <c r="G24" s="16"/>
      <c r="H24" s="16"/>
    </row>
    <row r="25" customFormat="false" ht="26.85" hidden="false" customHeight="false" outlineLevel="0" collapsed="false">
      <c r="A25" s="14" t="n">
        <v>8</v>
      </c>
      <c r="B25" s="14" t="s">
        <v>60</v>
      </c>
      <c r="C25" s="14" t="s">
        <v>61</v>
      </c>
      <c r="D25" s="16"/>
      <c r="E25" s="17"/>
      <c r="F25" s="18" t="str">
        <f aca="false">IF(D25="","offen","✓ erledigt")</f>
        <v>offen</v>
      </c>
      <c r="G25" s="16"/>
      <c r="H25" s="16"/>
    </row>
    <row r="26" customFormat="false" ht="15" hidden="false" customHeight="false" outlineLevel="0" collapsed="false">
      <c r="A26" s="14" t="n">
        <v>9</v>
      </c>
      <c r="B26" s="14" t="s">
        <v>62</v>
      </c>
      <c r="C26" s="14" t="s">
        <v>63</v>
      </c>
      <c r="D26" s="16"/>
      <c r="E26" s="17"/>
      <c r="F26" s="18" t="str">
        <f aca="false">IF(D26="","offen","✓ erledigt")</f>
        <v>offen</v>
      </c>
      <c r="G26" s="16"/>
      <c r="H26" s="16"/>
    </row>
    <row r="27" customFormat="false" ht="15" hidden="false" customHeight="false" outlineLevel="0" collapsed="false">
      <c r="A27" s="14" t="n">
        <v>10</v>
      </c>
      <c r="B27" s="14" t="s">
        <v>64</v>
      </c>
      <c r="C27" s="14" t="s">
        <v>65</v>
      </c>
      <c r="D27" s="16"/>
      <c r="E27" s="17"/>
      <c r="F27" s="18" t="str">
        <f aca="false">IF(D27="","offen","✓ erledigt")</f>
        <v>offen</v>
      </c>
      <c r="G27" s="16"/>
      <c r="H27" s="16"/>
    </row>
    <row r="28" customFormat="false" ht="26.85" hidden="false" customHeight="false" outlineLevel="0" collapsed="false">
      <c r="A28" s="14" t="n">
        <v>11</v>
      </c>
      <c r="B28" s="14" t="s">
        <v>66</v>
      </c>
      <c r="C28" s="14" t="s">
        <v>67</v>
      </c>
      <c r="D28" s="16"/>
      <c r="E28" s="17"/>
      <c r="F28" s="18" t="str">
        <f aca="false">IF(D28="","offen","✓ erledigt")</f>
        <v>offen</v>
      </c>
      <c r="G28" s="16"/>
      <c r="H28" s="16"/>
    </row>
    <row r="29" customFormat="false" ht="26.85" hidden="false" customHeight="false" outlineLevel="0" collapsed="false">
      <c r="A29" s="14" t="n">
        <v>12</v>
      </c>
      <c r="B29" s="14" t="s">
        <v>68</v>
      </c>
      <c r="C29" s="14" t="s">
        <v>69</v>
      </c>
      <c r="D29" s="16"/>
      <c r="E29" s="17"/>
      <c r="F29" s="18" t="str">
        <f aca="false">IF(D29="","offen","✓ erledigt")</f>
        <v>offen</v>
      </c>
      <c r="G29" s="16"/>
      <c r="H29" s="16"/>
    </row>
    <row r="30" customFormat="false" ht="15" hidden="false" customHeight="false" outlineLevel="0" collapsed="false">
      <c r="A30" s="14" t="n">
        <v>13</v>
      </c>
      <c r="B30" s="14" t="s">
        <v>70</v>
      </c>
      <c r="C30" s="14" t="s">
        <v>71</v>
      </c>
      <c r="D30" s="16"/>
      <c r="E30" s="17"/>
      <c r="F30" s="18" t="str">
        <f aca="false">IF(D30="","offen","✓ erledigt")</f>
        <v>offen</v>
      </c>
      <c r="G30" s="16"/>
      <c r="H30" s="16"/>
    </row>
    <row r="31" customFormat="false" ht="15" hidden="false" customHeight="false" outlineLevel="0" collapsed="false">
      <c r="A31" s="14" t="n">
        <v>14</v>
      </c>
      <c r="B31" s="14" t="s">
        <v>72</v>
      </c>
      <c r="C31" s="14" t="s">
        <v>73</v>
      </c>
      <c r="D31" s="16"/>
      <c r="E31" s="17"/>
      <c r="F31" s="18" t="str">
        <f aca="false">IF(D31="","offen","✓ erledigt")</f>
        <v>offen</v>
      </c>
      <c r="G31" s="16"/>
      <c r="H31" s="16"/>
    </row>
    <row r="32" customFormat="false" ht="26.85" hidden="false" customHeight="false" outlineLevel="0" collapsed="false">
      <c r="A32" s="14" t="n">
        <v>15</v>
      </c>
      <c r="B32" s="14" t="s">
        <v>74</v>
      </c>
      <c r="C32" s="14" t="s">
        <v>75</v>
      </c>
      <c r="D32" s="16"/>
      <c r="E32" s="17"/>
      <c r="F32" s="18" t="str">
        <f aca="false">IF(D32="","offen","✓ erledigt")</f>
        <v>offen</v>
      </c>
      <c r="G32" s="16"/>
      <c r="H32" s="16"/>
    </row>
  </sheetData>
  <mergeCells count="16">
    <mergeCell ref="G17:H17"/>
    <mergeCell ref="G18:H18"/>
    <mergeCell ref="G19:H19"/>
    <mergeCell ref="G20:H20"/>
    <mergeCell ref="G21:H21"/>
    <mergeCell ref="G22:H22"/>
    <mergeCell ref="G23:H23"/>
    <mergeCell ref="G24:H24"/>
    <mergeCell ref="G25:H25"/>
    <mergeCell ref="G26:H26"/>
    <mergeCell ref="G27:H27"/>
    <mergeCell ref="G28:H28"/>
    <mergeCell ref="G29:H29"/>
    <mergeCell ref="G30:H30"/>
    <mergeCell ref="G31:H31"/>
    <mergeCell ref="G32:H32"/>
  </mergeCells>
  <conditionalFormatting sqref="D7:G13">
    <cfRule type="cellIs" priority="2" operator="equal" aboveAverage="0" equalAverage="0" bottom="0" percent="0" rank="0" text="" dxfId="0">
      <formula>"✓"</formula>
    </cfRule>
  </conditionalFormatting>
  <conditionalFormatting sqref="A7:C13">
    <cfRule type="expression" priority="3" aboveAverage="0" equalAverage="0" bottom="0" percent="0" rank="0" text="" dxfId="0">
      <formula>COUNTIF($D7:$G7,"✓")=4</formula>
    </cfRule>
  </conditionalFormatting>
  <conditionalFormatting sqref="H7:H13">
    <cfRule type="expression" priority="4" aboveAverage="0" equalAverage="0" bottom="0" percent="0" rank="0" text="" dxfId="0">
      <formula>COUNTIF($D7:$G7,"✓")=4</formula>
    </cfRule>
  </conditionalFormatting>
  <conditionalFormatting sqref="A18:F32">
    <cfRule type="expression" priority="5" aboveAverage="0" equalAverage="0" bottom="0" percent="0" rank="0" text="" dxfId="0">
      <formula>$D18&lt;&gt;""</formula>
    </cfRule>
  </conditionalFormatting>
  <dataValidations count="3">
    <dataValidation allowBlank="true" error="Bitte nur ✓ auswählen oder Feld leeren." errorStyle="stop" operator="between" showDropDown="false" showErrorMessage="false" showInputMessage="false" sqref="D7:G13" type="list">
      <formula1>"✓"</formula1>
      <formula2>0</formula2>
    </dataValidation>
    <dataValidation allowBlank="true" errorStyle="stop" operator="between" showDropDown="false" showErrorMessage="false" showInputMessage="false" sqref="D18:D32" type="list">
      <formula1>Team</formula1>
      <formula2>0</formula2>
    </dataValidation>
    <dataValidation allowBlank="true" error="Bitte ein Datum eingeben, z. B. 20.10.2026" errorStyle="stop" operator="greaterThan" showDropDown="false" showErrorMessage="false" showInputMessage="false" sqref="E18:E32" type="date">
      <formula1>45000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DB33A"/>
    <pageSetUpPr fitToPage="true"/>
  </sheetPr>
  <dimension ref="A1:F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42"/>
    <col collapsed="false" customWidth="true" hidden="false" outlineLevel="0" max="3" min="3" style="0" width="14"/>
    <col collapsed="false" customWidth="true" hidden="false" outlineLevel="0" max="4" min="4" style="0" width="18"/>
    <col collapsed="false" customWidth="true" hidden="false" outlineLevel="0" max="5" min="5" style="0" width="10"/>
    <col collapsed="false" customWidth="true" hidden="false" outlineLevel="0" max="6" min="6" style="0" width="15"/>
  </cols>
  <sheetData>
    <row r="1" customFormat="false" ht="19.7" hidden="false" customHeight="false" outlineLevel="0" collapsed="false">
      <c r="A1" s="1" t="s">
        <v>76</v>
      </c>
    </row>
    <row r="2" customFormat="false" ht="15" hidden="false" customHeight="false" outlineLevel="0" collapsed="false">
      <c r="A2" s="2" t="s">
        <v>77</v>
      </c>
    </row>
    <row r="4" customFormat="false" ht="15" hidden="false" customHeight="false" outlineLevel="0" collapsed="false">
      <c r="A4" s="12" t="s">
        <v>78</v>
      </c>
      <c r="B4" s="12" t="s">
        <v>79</v>
      </c>
      <c r="C4" s="12" t="s">
        <v>80</v>
      </c>
      <c r="D4" s="12" t="s">
        <v>81</v>
      </c>
      <c r="E4" s="12" t="s">
        <v>82</v>
      </c>
      <c r="F4" s="12" t="s">
        <v>83</v>
      </c>
    </row>
    <row r="5" customFormat="false" ht="15" hidden="false" customHeight="false" outlineLevel="0" collapsed="false">
      <c r="A5" s="14" t="n">
        <v>1</v>
      </c>
      <c r="B5" s="14" t="s">
        <v>84</v>
      </c>
      <c r="C5" s="14" t="s">
        <v>85</v>
      </c>
      <c r="D5" s="16"/>
      <c r="E5" s="19" t="n">
        <v>0.000231481481481482</v>
      </c>
      <c r="F5" s="19" t="n">
        <f aca="false">SUM($E$5:E5)</f>
        <v>0.000231481481481482</v>
      </c>
    </row>
    <row r="6" customFormat="false" ht="15" hidden="false" customHeight="false" outlineLevel="0" collapsed="false">
      <c r="A6" s="14" t="n">
        <v>2</v>
      </c>
      <c r="B6" s="14" t="s">
        <v>86</v>
      </c>
      <c r="C6" s="14" t="s">
        <v>87</v>
      </c>
      <c r="D6" s="16"/>
      <c r="E6" s="19" t="n">
        <v>0.000520833333333333</v>
      </c>
      <c r="F6" s="19" t="n">
        <f aca="false">SUM($E$5:E6)</f>
        <v>0.000752314814814815</v>
      </c>
    </row>
    <row r="7" customFormat="false" ht="15" hidden="false" customHeight="false" outlineLevel="0" collapsed="false">
      <c r="A7" s="14" t="n">
        <v>3</v>
      </c>
      <c r="B7" s="14" t="s">
        <v>88</v>
      </c>
      <c r="C7" s="14" t="s">
        <v>87</v>
      </c>
      <c r="D7" s="16"/>
      <c r="E7" s="19" t="n">
        <v>0.000520833333333333</v>
      </c>
      <c r="F7" s="19" t="n">
        <f aca="false">SUM($E$5:E7)</f>
        <v>0.00127314814814815</v>
      </c>
    </row>
    <row r="8" customFormat="false" ht="15" hidden="false" customHeight="false" outlineLevel="0" collapsed="false">
      <c r="A8" s="14" t="n">
        <v>4</v>
      </c>
      <c r="B8" s="14" t="s">
        <v>89</v>
      </c>
      <c r="C8" s="14" t="s">
        <v>90</v>
      </c>
      <c r="D8" s="16"/>
      <c r="E8" s="19" t="n">
        <v>0.000694444444444445</v>
      </c>
      <c r="F8" s="19" t="n">
        <f aca="false">SUM($E$5:E8)</f>
        <v>0.00196759259259259</v>
      </c>
    </row>
    <row r="9" customFormat="false" ht="15" hidden="false" customHeight="false" outlineLevel="0" collapsed="false">
      <c r="A9" s="14" t="n">
        <v>5</v>
      </c>
      <c r="B9" s="14" t="s">
        <v>91</v>
      </c>
      <c r="C9" s="14" t="s">
        <v>90</v>
      </c>
      <c r="D9" s="16"/>
      <c r="E9" s="19" t="n">
        <v>0.000752314814814815</v>
      </c>
      <c r="F9" s="19" t="n">
        <f aca="false">SUM($E$5:E9)</f>
        <v>0.00271990740740741</v>
      </c>
    </row>
    <row r="10" customFormat="false" ht="15" hidden="false" customHeight="false" outlineLevel="0" collapsed="false">
      <c r="A10" s="14" t="n">
        <v>6</v>
      </c>
      <c r="B10" s="14" t="s">
        <v>92</v>
      </c>
      <c r="C10" s="14" t="s">
        <v>90</v>
      </c>
      <c r="D10" s="16"/>
      <c r="E10" s="19" t="n">
        <v>0.000578703703703704</v>
      </c>
      <c r="F10" s="19" t="n">
        <f aca="false">SUM($E$5:E10)</f>
        <v>0.00329861111111111</v>
      </c>
    </row>
    <row r="11" customFormat="false" ht="15" hidden="false" customHeight="false" outlineLevel="0" collapsed="false">
      <c r="A11" s="14" t="n">
        <v>7</v>
      </c>
      <c r="B11" s="14" t="s">
        <v>93</v>
      </c>
      <c r="C11" s="14" t="s">
        <v>94</v>
      </c>
      <c r="D11" s="16"/>
      <c r="E11" s="19" t="n">
        <v>0.000694444444444445</v>
      </c>
      <c r="F11" s="19" t="n">
        <f aca="false">SUM($E$5:E11)</f>
        <v>0.00399305555555556</v>
      </c>
    </row>
    <row r="12" customFormat="false" ht="15" hidden="false" customHeight="false" outlineLevel="0" collapsed="false">
      <c r="A12" s="14" t="n">
        <v>8</v>
      </c>
      <c r="B12" s="14" t="s">
        <v>95</v>
      </c>
      <c r="C12" s="14" t="s">
        <v>94</v>
      </c>
      <c r="D12" s="16"/>
      <c r="E12" s="19" t="n">
        <v>0.000636574074074074</v>
      </c>
      <c r="F12" s="19" t="n">
        <f aca="false">SUM($E$5:E12)</f>
        <v>0.00462962962962963</v>
      </c>
    </row>
    <row r="13" customFormat="false" ht="15" hidden="false" customHeight="false" outlineLevel="0" collapsed="false">
      <c r="A13" s="14" t="n">
        <v>9</v>
      </c>
      <c r="B13" s="14" t="s">
        <v>96</v>
      </c>
      <c r="C13" s="14" t="s">
        <v>94</v>
      </c>
      <c r="D13" s="16"/>
      <c r="E13" s="19" t="n">
        <v>0.000578703703703704</v>
      </c>
      <c r="F13" s="19" t="n">
        <f aca="false">SUM($E$5:E13)</f>
        <v>0.00520833333333333</v>
      </c>
    </row>
    <row r="14" customFormat="false" ht="15" hidden="false" customHeight="false" outlineLevel="0" collapsed="false">
      <c r="A14" s="14" t="n">
        <v>10</v>
      </c>
      <c r="B14" s="14" t="s">
        <v>97</v>
      </c>
      <c r="C14" s="14" t="s">
        <v>97</v>
      </c>
      <c r="D14" s="16"/>
      <c r="E14" s="19" t="n">
        <v>0.000925925925925926</v>
      </c>
      <c r="F14" s="19" t="n">
        <f aca="false">SUM($E$5:E14)</f>
        <v>0.00613425925925926</v>
      </c>
    </row>
    <row r="15" customFormat="false" ht="15" hidden="false" customHeight="false" outlineLevel="0" collapsed="false">
      <c r="A15" s="14" t="n">
        <v>11</v>
      </c>
      <c r="B15" s="14" t="s">
        <v>98</v>
      </c>
      <c r="C15" s="14" t="s">
        <v>99</v>
      </c>
      <c r="D15" s="16"/>
      <c r="E15" s="19" t="n">
        <v>0.000810185185185185</v>
      </c>
      <c r="F15" s="19" t="n">
        <f aca="false">SUM($E$5:E15)</f>
        <v>0.00694444444444444</v>
      </c>
    </row>
    <row r="16" customFormat="false" ht="15" hidden="false" customHeight="false" outlineLevel="0" collapsed="false">
      <c r="A16" s="14" t="n">
        <v>12</v>
      </c>
      <c r="B16" s="14" t="s">
        <v>100</v>
      </c>
      <c r="C16" s="14" t="s">
        <v>85</v>
      </c>
      <c r="D16" s="16"/>
      <c r="E16" s="19" t="n">
        <v>0.000115740740740741</v>
      </c>
      <c r="F16" s="19" t="n">
        <f aca="false">SUM($E$5:E16)</f>
        <v>0.00706018518518519</v>
      </c>
    </row>
    <row r="18" customFormat="false" ht="15" hidden="false" customHeight="false" outlineLevel="0" collapsed="false">
      <c r="B18" s="9" t="s">
        <v>101</v>
      </c>
      <c r="E18" s="20" t="n">
        <f aca="false">SUM(E5:E16)</f>
        <v>0.00706018518518519</v>
      </c>
    </row>
    <row r="20" customFormat="false" ht="15" hidden="false" customHeight="false" outlineLevel="0" collapsed="false">
      <c r="B20" s="10" t="s">
        <v>102</v>
      </c>
    </row>
    <row r="21" customFormat="false" ht="15" hidden="false" customHeight="false" outlineLevel="0" collapsed="false">
      <c r="B21" s="4" t="str">
        <f aca="false">IF(Start!$B$5="","Person 1",Start!$B$5)</f>
        <v>Person 1</v>
      </c>
      <c r="E21" s="21" t="n">
        <f aca="false">SUMIF($D$5:$D$16,Start!$B$5,$E$5:$E$16)</f>
        <v>0</v>
      </c>
    </row>
    <row r="22" customFormat="false" ht="15" hidden="false" customHeight="false" outlineLevel="0" collapsed="false">
      <c r="B22" s="4" t="str">
        <f aca="false">IF(Start!$B$6="","Person 2",Start!$B$6)</f>
        <v>Person 2</v>
      </c>
      <c r="E22" s="21" t="n">
        <f aca="false">SUMIF($D$5:$D$16,Start!$B$6,$E$5:$E$16)</f>
        <v>0</v>
      </c>
    </row>
    <row r="23" customFormat="false" ht="15" hidden="false" customHeight="false" outlineLevel="0" collapsed="false">
      <c r="B23" s="4" t="str">
        <f aca="false">IF(Start!$B$7="","Person 3",Start!$B$7)</f>
        <v>Person 3</v>
      </c>
      <c r="E23" s="21" t="n">
        <f aca="false">SUMIF($D$5:$D$16,Start!$B$7,$E$5:$E$16)</f>
        <v>0</v>
      </c>
    </row>
    <row r="24" customFormat="false" ht="15" hidden="false" customHeight="false" outlineLevel="0" collapsed="false">
      <c r="B24" s="4" t="str">
        <f aca="false">IF(Start!$B$8="","Person 4",Start!$B$8)</f>
        <v>Person 4</v>
      </c>
      <c r="E24" s="21" t="n">
        <f aca="false">SUMIF($D$5:$D$16,Start!$B$8,$E$5:$E$16)</f>
        <v>0</v>
      </c>
    </row>
    <row r="26" customFormat="false" ht="15" hidden="false" customHeight="false" outlineLevel="0" collapsed="false">
      <c r="B26" s="22" t="s">
        <v>103</v>
      </c>
    </row>
  </sheetData>
  <dataValidations count="1">
    <dataValidation allowBlank="true" errorStyle="stop" operator="between" showDropDown="false" showErrorMessage="false" showInputMessage="false" sqref="D5:D16" type="list">
      <formula1>Team</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DB33A"/>
    <pageSetUpPr fitToPage="true"/>
  </sheetPr>
  <dimension ref="A1:D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16"/>
    <col collapsed="false" customWidth="true" hidden="false" outlineLevel="0" max="3" min="3" style="0" width="80"/>
    <col collapsed="false" customWidth="true" hidden="false" outlineLevel="0" max="4" min="4" style="0" width="60"/>
  </cols>
  <sheetData>
    <row r="1" customFormat="false" ht="19.7" hidden="false" customHeight="false" outlineLevel="0" collapsed="false">
      <c r="A1" s="1" t="s">
        <v>104</v>
      </c>
    </row>
    <row r="2" customFormat="false" ht="15" hidden="false" customHeight="false" outlineLevel="0" collapsed="false">
      <c r="A2" s="2" t="s">
        <v>105</v>
      </c>
    </row>
    <row r="4" customFormat="false" ht="15" hidden="false" customHeight="false" outlineLevel="0" collapsed="false">
      <c r="A4" s="12" t="s">
        <v>78</v>
      </c>
      <c r="B4" s="12" t="s">
        <v>81</v>
      </c>
      <c r="C4" s="12" t="s">
        <v>106</v>
      </c>
      <c r="D4" s="12" t="s">
        <v>107</v>
      </c>
    </row>
    <row r="5" customFormat="false" ht="75" hidden="false" customHeight="true" outlineLevel="0" collapsed="false">
      <c r="A5" s="23" t="n">
        <v>1</v>
      </c>
      <c r="B5" s="23" t="n">
        <f aca="false">'Rollen &amp; Zeitplan'!D5</f>
        <v>0</v>
      </c>
      <c r="C5" s="23" t="s">
        <v>108</v>
      </c>
      <c r="D5" s="24"/>
    </row>
    <row r="6" customFormat="false" ht="135" hidden="false" customHeight="true" outlineLevel="0" collapsed="false">
      <c r="A6" s="23" t="n">
        <v>2</v>
      </c>
      <c r="B6" s="23" t="n">
        <f aca="false">'Rollen &amp; Zeitplan'!D6</f>
        <v>0</v>
      </c>
      <c r="C6" s="23" t="s">
        <v>109</v>
      </c>
      <c r="D6" s="24"/>
    </row>
    <row r="7" customFormat="false" ht="120" hidden="false" customHeight="true" outlineLevel="0" collapsed="false">
      <c r="A7" s="23" t="n">
        <v>3</v>
      </c>
      <c r="B7" s="23" t="n">
        <f aca="false">'Rollen &amp; Zeitplan'!D7</f>
        <v>0</v>
      </c>
      <c r="C7" s="23" t="s">
        <v>110</v>
      </c>
      <c r="D7" s="24"/>
    </row>
    <row r="8" customFormat="false" ht="135" hidden="false" customHeight="true" outlineLevel="0" collapsed="false">
      <c r="A8" s="23" t="n">
        <v>4</v>
      </c>
      <c r="B8" s="23" t="n">
        <f aca="false">'Rollen &amp; Zeitplan'!D8</f>
        <v>0</v>
      </c>
      <c r="C8" s="23" t="s">
        <v>111</v>
      </c>
      <c r="D8" s="24"/>
    </row>
    <row r="9" customFormat="false" ht="165" hidden="false" customHeight="true" outlineLevel="0" collapsed="false">
      <c r="A9" s="23" t="n">
        <v>5</v>
      </c>
      <c r="B9" s="23" t="n">
        <f aca="false">'Rollen &amp; Zeitplan'!D9</f>
        <v>0</v>
      </c>
      <c r="C9" s="23" t="s">
        <v>112</v>
      </c>
      <c r="D9" s="24"/>
    </row>
    <row r="10" customFormat="false" ht="120" hidden="false" customHeight="true" outlineLevel="0" collapsed="false">
      <c r="A10" s="23" t="n">
        <v>6</v>
      </c>
      <c r="B10" s="23" t="n">
        <f aca="false">'Rollen &amp; Zeitplan'!D10</f>
        <v>0</v>
      </c>
      <c r="C10" s="23" t="s">
        <v>113</v>
      </c>
      <c r="D10" s="24"/>
    </row>
    <row r="11" customFormat="false" ht="150" hidden="false" customHeight="true" outlineLevel="0" collapsed="false">
      <c r="A11" s="23" t="n">
        <v>7</v>
      </c>
      <c r="B11" s="23" t="n">
        <f aca="false">'Rollen &amp; Zeitplan'!D11</f>
        <v>0</v>
      </c>
      <c r="C11" s="23" t="s">
        <v>114</v>
      </c>
      <c r="D11" s="24"/>
    </row>
    <row r="12" customFormat="false" ht="135" hidden="false" customHeight="true" outlineLevel="0" collapsed="false">
      <c r="A12" s="23" t="n">
        <v>8</v>
      </c>
      <c r="B12" s="23" t="n">
        <f aca="false">'Rollen &amp; Zeitplan'!D12</f>
        <v>0</v>
      </c>
      <c r="C12" s="23" t="s">
        <v>115</v>
      </c>
      <c r="D12" s="24"/>
    </row>
    <row r="13" customFormat="false" ht="120" hidden="false" customHeight="true" outlineLevel="0" collapsed="false">
      <c r="A13" s="23" t="n">
        <v>9</v>
      </c>
      <c r="B13" s="23" t="n">
        <f aca="false">'Rollen &amp; Zeitplan'!D13</f>
        <v>0</v>
      </c>
      <c r="C13" s="23" t="s">
        <v>116</v>
      </c>
      <c r="D13" s="24"/>
    </row>
    <row r="14" customFormat="false" ht="180" hidden="false" customHeight="true" outlineLevel="0" collapsed="false">
      <c r="A14" s="23" t="n">
        <v>10</v>
      </c>
      <c r="B14" s="23" t="n">
        <f aca="false">'Rollen &amp; Zeitplan'!D14</f>
        <v>0</v>
      </c>
      <c r="C14" s="23" t="s">
        <v>117</v>
      </c>
      <c r="D14" s="24"/>
    </row>
    <row r="15" customFormat="false" ht="180" hidden="false" customHeight="true" outlineLevel="0" collapsed="false">
      <c r="A15" s="23" t="n">
        <v>11</v>
      </c>
      <c r="B15" s="23" t="n">
        <f aca="false">'Rollen &amp; Zeitplan'!D15</f>
        <v>0</v>
      </c>
      <c r="C15" s="23" t="s">
        <v>118</v>
      </c>
      <c r="D15" s="24"/>
    </row>
    <row r="16" customFormat="false" ht="60" hidden="false" customHeight="true" outlineLevel="0" collapsed="false">
      <c r="A16" s="23" t="n">
        <v>12</v>
      </c>
      <c r="B16" s="23" t="n">
        <f aca="false">'Rollen &amp; Zeitplan'!D16</f>
        <v>0</v>
      </c>
      <c r="C16" s="23" t="s">
        <v>119</v>
      </c>
      <c r="D16" s="24"/>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DB33A"/>
    <pageSetUpPr fitToPage="true"/>
  </sheetPr>
  <dimension ref="A1:D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2"/>
    <col collapsed="false" customWidth="true" hidden="false" outlineLevel="0" max="2" min="2" style="0" width="70"/>
    <col collapsed="false" customWidth="true" hidden="false" outlineLevel="0" max="3" min="3" style="0" width="24"/>
    <col collapsed="false" customWidth="true" hidden="false" outlineLevel="0" max="4" min="4" style="0" width="16"/>
  </cols>
  <sheetData>
    <row r="1" customFormat="false" ht="19.7" hidden="false" customHeight="false" outlineLevel="0" collapsed="false">
      <c r="A1" s="1" t="s">
        <v>120</v>
      </c>
    </row>
    <row r="2" customFormat="false" ht="15" hidden="false" customHeight="false" outlineLevel="0" collapsed="false">
      <c r="A2" s="2" t="s">
        <v>121</v>
      </c>
    </row>
    <row r="4" customFormat="false" ht="15" hidden="false" customHeight="false" outlineLevel="0" collapsed="false">
      <c r="A4" s="12" t="s">
        <v>122</v>
      </c>
      <c r="B4" s="12" t="s">
        <v>123</v>
      </c>
      <c r="C4" s="12" t="s">
        <v>124</v>
      </c>
      <c r="D4" s="12" t="s">
        <v>125</v>
      </c>
    </row>
    <row r="5" customFormat="false" ht="45.75" hidden="false" customHeight="true" outlineLevel="0" collapsed="false">
      <c r="A5" s="25" t="s">
        <v>126</v>
      </c>
      <c r="B5" s="23" t="s">
        <v>127</v>
      </c>
      <c r="C5" s="23" t="s">
        <v>128</v>
      </c>
      <c r="D5" s="24"/>
    </row>
    <row r="6" customFormat="false" ht="45.75" hidden="false" customHeight="true" outlineLevel="0" collapsed="false">
      <c r="A6" s="25" t="s">
        <v>129</v>
      </c>
      <c r="B6" s="23" t="s">
        <v>130</v>
      </c>
      <c r="C6" s="23" t="s">
        <v>131</v>
      </c>
      <c r="D6" s="24"/>
    </row>
    <row r="7" customFormat="false" ht="45.75" hidden="false" customHeight="true" outlineLevel="0" collapsed="false">
      <c r="A7" s="25" t="s">
        <v>132</v>
      </c>
      <c r="B7" s="23" t="s">
        <v>133</v>
      </c>
      <c r="C7" s="23" t="s">
        <v>134</v>
      </c>
      <c r="D7" s="24"/>
    </row>
    <row r="8" customFormat="false" ht="45.75" hidden="false" customHeight="true" outlineLevel="0" collapsed="false">
      <c r="A8" s="25" t="s">
        <v>135</v>
      </c>
      <c r="B8" s="23" t="s">
        <v>136</v>
      </c>
      <c r="C8" s="23" t="s">
        <v>137</v>
      </c>
      <c r="D8" s="24"/>
    </row>
    <row r="9" customFormat="false" ht="45.75" hidden="false" customHeight="true" outlineLevel="0" collapsed="false">
      <c r="A9" s="25" t="s">
        <v>138</v>
      </c>
      <c r="B9" s="23" t="s">
        <v>139</v>
      </c>
      <c r="C9" s="23" t="s">
        <v>140</v>
      </c>
      <c r="D9" s="24"/>
    </row>
    <row r="10" customFormat="false" ht="45.75" hidden="false" customHeight="true" outlineLevel="0" collapsed="false">
      <c r="A10" s="25" t="s">
        <v>141</v>
      </c>
      <c r="B10" s="23" t="s">
        <v>142</v>
      </c>
      <c r="C10" s="23" t="s">
        <v>143</v>
      </c>
      <c r="D10" s="24"/>
    </row>
    <row r="11" customFormat="false" ht="45.75" hidden="false" customHeight="true" outlineLevel="0" collapsed="false">
      <c r="A11" s="25" t="s">
        <v>144</v>
      </c>
      <c r="B11" s="23" t="s">
        <v>145</v>
      </c>
      <c r="C11" s="23" t="s">
        <v>146</v>
      </c>
      <c r="D11" s="24"/>
    </row>
    <row r="12" customFormat="false" ht="45.75" hidden="false" customHeight="true" outlineLevel="0" collapsed="false">
      <c r="A12" s="25" t="s">
        <v>147</v>
      </c>
      <c r="B12" s="23" t="s">
        <v>148</v>
      </c>
      <c r="C12" s="23" t="s">
        <v>149</v>
      </c>
      <c r="D12" s="24"/>
    </row>
    <row r="13" customFormat="false" ht="45.75" hidden="false" customHeight="true" outlineLevel="0" collapsed="false">
      <c r="A13" s="25" t="s">
        <v>150</v>
      </c>
      <c r="B13" s="23" t="s">
        <v>151</v>
      </c>
      <c r="C13" s="23" t="s">
        <v>152</v>
      </c>
      <c r="D13" s="24"/>
    </row>
    <row r="14" customFormat="false" ht="45.75" hidden="false" customHeight="true" outlineLevel="0" collapsed="false">
      <c r="A14" s="25" t="s">
        <v>153</v>
      </c>
      <c r="B14" s="23" t="s">
        <v>154</v>
      </c>
      <c r="C14" s="23" t="s">
        <v>155</v>
      </c>
      <c r="D14" s="24"/>
    </row>
    <row r="15" customFormat="false" ht="45.75" hidden="false" customHeight="true" outlineLevel="0" collapsed="false">
      <c r="A15" s="25" t="s">
        <v>156</v>
      </c>
      <c r="B15" s="23" t="s">
        <v>157</v>
      </c>
      <c r="C15" s="23" t="s">
        <v>85</v>
      </c>
      <c r="D15" s="24"/>
    </row>
  </sheetData>
  <dataValidations count="1">
    <dataValidation allowBlank="true" errorStyle="stop" operator="between" showDropDown="false" showErrorMessage="false" showInputMessage="false" sqref="D5:D15" type="list">
      <formula1>Team</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2026-10-13T13:45:40Z</dcterms:created>
  <dc:creator>openpyxl</dc:creator>
  <dc:description/>
  <dc:language>en-US</dc:language>
  <cp:lastModifiedBy/>
  <dcterms:modified xsi:type="dcterms:W3CDTF">2026-10-13T13:45:40Z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