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fgaben" sheetId="1" state="visible" r:id="rId1"/>
    <sheet xmlns:r="http://schemas.openxmlformats.org/officeDocument/2006/relationships" name="Wer spricht w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:ss"/>
  </numFmts>
  <fonts count="11">
    <font>
      <name val="Calibri"/>
      <family val="2"/>
      <color theme="1"/>
      <sz val="11"/>
      <scheme val="minor"/>
    </font>
    <font>
      <name val="Arial"/>
      <b val="1"/>
      <color rgb="000F5C6B"/>
      <sz val="20"/>
    </font>
    <font>
      <name val="Arial"/>
      <color rgb="007C8C90"/>
      <sz val="11"/>
    </font>
    <font>
      <name val="Arial"/>
      <b val="1"/>
      <color rgb="000F5C6B"/>
      <sz val="14"/>
    </font>
    <font>
      <name val="Arial"/>
      <b val="1"/>
      <color rgb="007C8C90"/>
      <sz val="11"/>
    </font>
    <font>
      <name val="Arial"/>
      <color rgb="001B2A2F"/>
      <sz val="12"/>
    </font>
    <font>
      <name val="Arial"/>
      <b val="1"/>
      <color rgb="003D6610"/>
      <sz val="14"/>
    </font>
    <font>
      <name val="Arial"/>
      <b val="1"/>
      <color rgb="000F5C6B"/>
      <sz val="12"/>
    </font>
    <font>
      <name val="Arial"/>
      <b val="1"/>
      <color rgb="00D9822B"/>
      <sz val="12"/>
    </font>
    <font>
      <name val="Arial"/>
      <color rgb="007C8C90"/>
      <sz val="12"/>
    </font>
    <font>
      <name val="Arial"/>
      <b val="1"/>
      <color rgb="001B2A2F"/>
      <sz val="12"/>
    </font>
  </fonts>
  <fills count="3">
    <fill>
      <patternFill/>
    </fill>
    <fill>
      <patternFill patternType="gray125"/>
    </fill>
    <fill>
      <patternFill patternType="solid">
        <fgColor rgb="00F1F0EB"/>
      </patternFill>
    </fill>
  </fills>
  <borders count="6">
    <border>
      <left/>
      <right/>
      <top/>
      <bottom/>
      <diagonal/>
    </border>
    <border>
      <bottom style="medium">
        <color rgb="000F5C6B"/>
      </bottom>
    </border>
    <border>
      <bottom style="thin">
        <color rgb="00E2E0D8"/>
      </bottom>
    </border>
    <border>
      <left style="thin">
        <color rgb="00FFFFFF"/>
      </left>
      <right style="thin">
        <color rgb="00FFFFFF"/>
      </right>
      <bottom style="thin">
        <color rgb="00FFFFFF"/>
      </bottom>
    </border>
    <border>
      <left/>
      <right/>
      <top/>
      <bottom style="medium">
        <color rgb="000F5C6B"/>
      </bottom>
      <diagonal/>
    </border>
    <border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 indent="1"/>
    </xf>
    <xf numFmtId="0" fontId="6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0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164" fontId="9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 indent="1"/>
    </xf>
    <xf numFmtId="164" fontId="10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DDEF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5C6B"/>
    <outlinePr summaryBelow="1" summaryRight="1"/>
    <pageSetUpPr fitToPage="1"/>
  </sheetPr>
  <dimension ref="B1:F2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64" customWidth="1" min="2" max="2"/>
    <col width="13" customWidth="1" min="3" max="3"/>
    <col width="13" customWidth="1" min="4" max="4"/>
    <col width="13" customWidth="1" min="5" max="5"/>
    <col width="13" customWidth="1" min="6" max="6"/>
    <col width="2" customWidth="1" min="7" max="7"/>
  </cols>
  <sheetData>
    <row r="1" ht="34" customHeight="1">
      <c r="B1" s="1" t="inlineStr">
        <is>
          <t>Elbharz · Aufgaben bis zur Präsentation</t>
        </is>
      </c>
    </row>
    <row r="2">
      <c r="B2" s="2" t="inlineStr">
        <is>
          <t>Graues Feld anklicken → Pfeil → ✓ oder deinen Namen wählen. Erledigtes wird grün.</t>
        </is>
      </c>
    </row>
    <row r="3" ht="22" customHeight="1">
      <c r="B3" s="3">
        <f>"Fortschritt: "&amp;(COUNTIF(C8:F12,"✓")+COUNTA(C18:C25))&amp;" von 28 erledigt"</f>
        <v/>
      </c>
    </row>
    <row r="5" ht="26" customHeight="1">
      <c r="B5" s="4" t="inlineStr">
        <is>
          <t>Jede:r für sich</t>
        </is>
      </c>
    </row>
    <row r="6">
      <c r="B6" s="2" t="inlineStr">
        <is>
          <t>In deiner eigenen Spalte ✓ wählen.</t>
        </is>
      </c>
    </row>
    <row r="7">
      <c r="B7" s="5" t="inlineStr">
        <is>
          <t>Aufgabe</t>
        </is>
      </c>
      <c r="C7" s="6" t="inlineStr">
        <is>
          <t>Jona</t>
        </is>
      </c>
      <c r="D7" s="6" t="inlineStr">
        <is>
          <t>Lennart</t>
        </is>
      </c>
      <c r="E7" s="6" t="inlineStr">
        <is>
          <t>Sönke</t>
        </is>
      </c>
      <c r="F7" s="6" t="inlineStr">
        <is>
          <t>Nio</t>
        </is>
      </c>
    </row>
    <row r="8" ht="30" customHeight="1">
      <c r="B8" s="7" t="inlineStr">
        <is>
          <t>Sprechtext für meine Folien gelesen und in eigene Worte gebracht</t>
        </is>
      </c>
      <c r="C8" s="8" t="n"/>
      <c r="D8" s="8" t="n"/>
      <c r="E8" s="8" t="n"/>
      <c r="F8" s="8" t="n"/>
    </row>
    <row r="9" ht="30" customHeight="1">
      <c r="B9" s="7" t="inlineStr">
        <is>
          <t>Meinen Teil laut mit Stoppuhr geübt (inkl. Übergabesatz)</t>
        </is>
      </c>
      <c r="C9" s="8" t="n"/>
      <c r="D9" s="8" t="n"/>
      <c r="E9" s="8" t="n"/>
      <c r="F9" s="8" t="n"/>
    </row>
    <row r="10" ht="30" customHeight="1">
      <c r="B10" s="7" t="inlineStr">
        <is>
          <t>Kann die Zahlen meiner Folien ohne Ablesen erklären</t>
        </is>
      </c>
      <c r="C10" s="8" t="n"/>
      <c r="D10" s="8" t="n"/>
      <c r="E10" s="8" t="n"/>
      <c r="F10" s="8" t="n"/>
    </row>
    <row r="11" ht="30" customHeight="1">
      <c r="B11" s="7" t="inlineStr">
        <is>
          <t>Reflexion (Folie 10) gelesen – passt für mich</t>
        </is>
      </c>
      <c r="C11" s="8" t="n"/>
      <c r="D11" s="8" t="n"/>
      <c r="E11" s="8" t="n"/>
      <c r="F11" s="8" t="n"/>
    </row>
    <row r="12" ht="30" customHeight="1">
      <c r="B12" s="7" t="inlineStr">
        <is>
          <t>Generalprobe mitgemacht</t>
        </is>
      </c>
      <c r="C12" s="8" t="n"/>
      <c r="D12" s="8" t="n"/>
      <c r="E12" s="8" t="n"/>
      <c r="F12" s="8" t="n"/>
    </row>
    <row r="15" ht="26" customHeight="1">
      <c r="B15" s="4" t="inlineStr">
        <is>
          <t>Eine:r reicht</t>
        </is>
      </c>
    </row>
    <row r="16">
      <c r="B16" s="2" t="inlineStr">
        <is>
          <t>Wer es erledigt hat, wählt seinen Namen.</t>
        </is>
      </c>
    </row>
    <row r="17">
      <c r="B17" s="5" t="inlineStr">
        <is>
          <t>Aufgabe</t>
        </is>
      </c>
      <c r="C17" s="6" t="inlineStr">
        <is>
          <t>Erledigt von</t>
        </is>
      </c>
      <c r="D17" s="9" t="n"/>
    </row>
    <row r="18" ht="30" customHeight="1">
      <c r="B18" s="7" t="inlineStr">
        <is>
          <t>Optional: Karte mit roter Elbe statt Standort-Symbol (Folie 3)</t>
        </is>
      </c>
      <c r="C18" s="10" t="n"/>
      <c r="D18" s="11" t="n"/>
    </row>
    <row r="19" ht="30" customHeight="1">
      <c r="B19" s="7" t="inlineStr">
        <is>
          <t>KI-Teambild einfügen + Tool notieren (Folie 12)</t>
        </is>
      </c>
      <c r="C19" s="10" t="n"/>
      <c r="D19" s="11" t="n"/>
    </row>
    <row r="20" ht="30" customHeight="1">
      <c r="B20" s="7" t="inlineStr">
        <is>
          <t>Bildquelle Limette &amp; Tamarinde klären (Quellenfolie)</t>
        </is>
      </c>
      <c r="C20" s="10" t="n"/>
      <c r="D20" s="11" t="n"/>
    </row>
    <row r="21" ht="30" customHeight="1">
      <c r="B21" s="7" t="inlineStr">
        <is>
          <t>R3 klären: 18,2 Paletten und Mitarbeiterzahl laut Protokoll</t>
        </is>
      </c>
      <c r="C21" s="10" t="n"/>
      <c r="D21" s="11" t="n"/>
    </row>
    <row r="22" ht="30" customHeight="1">
      <c r="B22" s="7" t="inlineStr">
        <is>
          <t>Präsentation am Schul-Beamer testen</t>
        </is>
      </c>
      <c r="C22" s="10" t="n"/>
      <c r="D22" s="11" t="n"/>
    </row>
    <row r="23" ht="30" customHeight="1">
      <c r="B23" s="7" t="inlineStr">
        <is>
          <t>Alle Platzhalter ersetzt („BILD FOLGT“, „Quelle ergänzen“)</t>
        </is>
      </c>
      <c r="C23" s="10" t="n"/>
      <c r="D23" s="11" t="n"/>
    </row>
    <row r="24" ht="30" customHeight="1">
      <c r="B24" s="7" t="inlineStr">
        <is>
          <t>PDF exportieren + Backup auf USB-Stick</t>
        </is>
      </c>
      <c r="C24" s="10" t="n"/>
      <c r="D24" s="11" t="n"/>
    </row>
    <row r="25" ht="30" customHeight="1">
      <c r="B25" s="7" t="inlineStr">
        <is>
          <t>Präsentation, PDF und Bögen M15 an die Lehrkraft</t>
        </is>
      </c>
      <c r="C25" s="10" t="n"/>
      <c r="D25" s="11" t="n"/>
    </row>
  </sheetData>
  <mergeCells count="9">
    <mergeCell ref="C20:D20"/>
    <mergeCell ref="C21:D21"/>
    <mergeCell ref="C24:D24"/>
    <mergeCell ref="C25:D25"/>
    <mergeCell ref="C19:D19"/>
    <mergeCell ref="C22:D22"/>
    <mergeCell ref="C18:D18"/>
    <mergeCell ref="C17:D17"/>
    <mergeCell ref="C23:D23"/>
  </mergeCells>
  <conditionalFormatting sqref="C8:F12">
    <cfRule type="cellIs" priority="1" operator="equal" dxfId="0">
      <formula>"✓"</formula>
    </cfRule>
  </conditionalFormatting>
  <conditionalFormatting sqref="B8:B12">
    <cfRule type="expression" priority="2" dxfId="0">
      <formula>COUNTIF($C8:$F8,"✓")=4</formula>
    </cfRule>
  </conditionalFormatting>
  <conditionalFormatting sqref="B18:D25">
    <cfRule type="expression" priority="3" dxfId="0">
      <formula>$C18&lt;&gt;""</formula>
    </cfRule>
  </conditionalFormatting>
  <dataValidations count="2">
    <dataValidation sqref="C8 C9 C10 C11 C12 D8 D9 D10 D11 D12 E8 E9 E10 E11 E12 F8 F9 F10 F11 F12" showDropDown="0" showInputMessage="0" showErrorMessage="1" allowBlank="1" error="Bitte ✓ auswählen oder Feld leeren." type="list">
      <formula1>"✓"</formula1>
    </dataValidation>
    <dataValidation sqref="C18 C19 C20 C21 C22 C23 C24 C25" showDropDown="0" showInputMessage="0" showErrorMessage="0" allowBlank="1" type="list">
      <formula1>"Jona,Lennart,Sönke,Nio"</formula1>
    </dataValidation>
  </dataValidation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D9822B"/>
    <outlinePr summaryBelow="1" summaryRight="1"/>
    <pageSetUpPr fitToPage="1"/>
  </sheetPr>
  <dimension ref="B1:E24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16" customWidth="1" min="4" max="4"/>
    <col width="10" customWidth="1" min="5" max="5"/>
    <col width="2" customWidth="1" min="6" max="6"/>
  </cols>
  <sheetData>
    <row r="1" ht="34" customHeight="1">
      <c r="B1" s="1" t="inlineStr">
        <is>
          <t>Wer spricht was</t>
        </is>
      </c>
    </row>
    <row r="2">
      <c r="B2" s="2" t="inlineStr">
        <is>
          <t>Pro Folie einen Namen wählen. Vorschlag: Folie 1–3 · 4–6 · 7–9 · 10–12 (passt zu den Kapiteln).</t>
        </is>
      </c>
    </row>
    <row r="4">
      <c r="B4" s="6" t="inlineStr">
        <is>
          <t>Folie</t>
        </is>
      </c>
      <c r="C4" s="5" t="inlineStr">
        <is>
          <t>Titel</t>
        </is>
      </c>
      <c r="D4" s="6" t="inlineStr">
        <is>
          <t>Wer?</t>
        </is>
      </c>
      <c r="E4" s="6" t="inlineStr">
        <is>
          <t>Dauer</t>
        </is>
      </c>
    </row>
    <row r="5" ht="26" customHeight="1">
      <c r="B5" s="12" t="n">
        <v>1</v>
      </c>
      <c r="C5" s="7" t="inlineStr">
        <is>
          <t>Titel + Einstiegsfrage</t>
        </is>
      </c>
      <c r="D5" s="13" t="n"/>
      <c r="E5" s="14" t="n">
        <v>0.0004050925925925926</v>
      </c>
    </row>
    <row r="6" ht="26" customHeight="1">
      <c r="B6" s="12" t="n">
        <v>2</v>
      </c>
      <c r="C6" s="7" t="inlineStr">
        <is>
          <t>Wer wir sind</t>
        </is>
      </c>
      <c r="D6" s="13" t="n"/>
      <c r="E6" s="14" t="n">
        <v>0.0005208333333333333</v>
      </c>
    </row>
    <row r="7" ht="26" customHeight="1">
      <c r="B7" s="12" t="n">
        <v>3</v>
      </c>
      <c r="C7" s="7" t="inlineStr">
        <is>
          <t>Nachhaltigkeit</t>
        </is>
      </c>
      <c r="D7" s="13" t="n"/>
      <c r="E7" s="14" t="n">
        <v>0.000462962962962963</v>
      </c>
    </row>
    <row r="8" ht="26" customHeight="1">
      <c r="B8" s="12" t="n">
        <v>4</v>
      </c>
      <c r="C8" s="7" t="inlineStr">
        <is>
          <t>Produziert, angeboten, verkauft</t>
        </is>
      </c>
      <c r="D8" s="13" t="n"/>
      <c r="E8" s="14" t="n">
        <v>0.0006944444444444445</v>
      </c>
    </row>
    <row r="9" ht="26" customHeight="1">
      <c r="B9" s="12" t="n">
        <v>5</v>
      </c>
      <c r="C9" s="7" t="inlineStr">
        <is>
          <t>Drei Entscheidungen</t>
        </is>
      </c>
      <c r="D9" s="13" t="n"/>
      <c r="E9" s="14" t="n">
        <v>0.0008101851851851852</v>
      </c>
    </row>
    <row r="10" ht="26" customHeight="1">
      <c r="B10" s="12" t="n">
        <v>6</v>
      </c>
      <c r="C10" s="7" t="inlineStr">
        <is>
          <t>Zwei Kennzahlen</t>
        </is>
      </c>
      <c r="D10" s="13" t="n"/>
      <c r="E10" s="14" t="n">
        <v>0.0006944444444444445</v>
      </c>
    </row>
    <row r="11" ht="26" customHeight="1">
      <c r="B11" s="12" t="n">
        <v>7</v>
      </c>
      <c r="C11" s="7" t="inlineStr">
        <is>
          <t>Wirtschaftlichkeit &amp; Schlussbestand</t>
        </is>
      </c>
      <c r="D11" s="13" t="n"/>
      <c r="E11" s="14" t="n">
        <v>0.0005787037037037037</v>
      </c>
    </row>
    <row r="12" ht="26" customHeight="1">
      <c r="B12" s="12" t="n">
        <v>8</v>
      </c>
      <c r="C12" s="7" t="inlineStr">
        <is>
          <t>Verkaufswert</t>
        </is>
      </c>
      <c r="D12" s="13" t="n"/>
      <c r="E12" s="14" t="n">
        <v>0.0005787037037037037</v>
      </c>
    </row>
    <row r="13" ht="26" customHeight="1">
      <c r="B13" s="12" t="n">
        <v>9</v>
      </c>
      <c r="C13" s="7" t="inlineStr">
        <is>
          <t>Wirtschaftsdienst</t>
        </is>
      </c>
      <c r="D13" s="13" t="n"/>
      <c r="E13" s="14" t="n">
        <v>0.0005787037037037037</v>
      </c>
    </row>
    <row r="14" ht="26" customHeight="1">
      <c r="B14" s="12" t="n">
        <v>10</v>
      </c>
      <c r="C14" s="7" t="inlineStr">
        <is>
          <t>Reflexion</t>
        </is>
      </c>
      <c r="D14" s="13" t="n"/>
      <c r="E14" s="14" t="n">
        <v>0.0008101851851851852</v>
      </c>
    </row>
    <row r="15" ht="26" customHeight="1">
      <c r="B15" s="12" t="n">
        <v>11</v>
      </c>
      <c r="C15" s="7" t="inlineStr">
        <is>
          <t>Bezug zur Gründung</t>
        </is>
      </c>
      <c r="D15" s="13" t="n"/>
      <c r="E15" s="14" t="n">
        <v>0.0007523148148148148</v>
      </c>
    </row>
    <row r="16" ht="26" customHeight="1">
      <c r="B16" s="12" t="n">
        <v>12</v>
      </c>
      <c r="C16" s="7" t="inlineStr">
        <is>
          <t>Schluss + Danke</t>
        </is>
      </c>
      <c r="D16" s="13" t="n"/>
      <c r="E16" s="14" t="n">
        <v>0.0003472222222222222</v>
      </c>
    </row>
    <row r="18">
      <c r="C18" s="4" t="inlineStr">
        <is>
          <t>Zeit pro Person</t>
        </is>
      </c>
    </row>
    <row r="19">
      <c r="C19" s="15" t="inlineStr">
        <is>
          <t>Jona</t>
        </is>
      </c>
      <c r="D19" s="16">
        <f>SUMIF($D$5:$D$16,"Jona",$E$5:$E$16)</f>
        <v/>
      </c>
    </row>
    <row r="20">
      <c r="C20" s="15" t="inlineStr">
        <is>
          <t>Lennart</t>
        </is>
      </c>
      <c r="D20" s="16">
        <f>SUMIF($D$5:$D$16,"Lennart",$E$5:$E$16)</f>
        <v/>
      </c>
    </row>
    <row r="21">
      <c r="C21" s="15" t="inlineStr">
        <is>
          <t>Sönke</t>
        </is>
      </c>
      <c r="D21" s="16">
        <f>SUMIF($D$5:$D$16,"Sönke",$E$5:$E$16)</f>
        <v/>
      </c>
    </row>
    <row r="22">
      <c r="C22" s="15" t="inlineStr">
        <is>
          <t>Nio</t>
        </is>
      </c>
      <c r="D22" s="16">
        <f>SUMIF($D$5:$D$16,"Nio",$E$5:$E$16)</f>
        <v/>
      </c>
    </row>
    <row r="23">
      <c r="C23" s="17" t="inlineStr">
        <is>
          <t>Gesamt (Ziel 10–12 Min.)</t>
        </is>
      </c>
      <c r="D23" s="18">
        <f>SUM(E5:E16)</f>
        <v/>
      </c>
    </row>
    <row r="24">
      <c r="C24" s="19" t="inlineStr">
        <is>
          <t>Noch ohne Sprecher:in</t>
        </is>
      </c>
      <c r="D24" s="20">
        <f>COUNTBLANK(D5:D16)&amp;" Folien"</f>
        <v/>
      </c>
    </row>
  </sheetData>
  <conditionalFormatting sqref="B5:E16">
    <cfRule type="expression" priority="1" dxfId="0">
      <formula>$D5&lt;&gt;""</formula>
    </cfRule>
  </conditionalFormatting>
  <dataValidations count="1">
    <dataValidation sqref="D5 D6 D7 D8 D9 D10 D11 D12 D13 D14 D15 D16" showDropDown="0" showInputMessage="0" showErrorMessage="0" allowBlank="1" type="list">
      <formula1>"Jona,Lennart,Sönke,Nio"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2026-10-16T07:05:35Z</dcterms:created>
  <dcterms:modified xmlns:dcterms="http://purl.org/dc/terms/" xmlns:xsi="http://www.w3.org/2001/XMLSchema-instance" xsi:type="dcterms:W3CDTF">2026-10-16T07:05:35Z</dcterms:modified>
</cp:coreProperties>
</file>